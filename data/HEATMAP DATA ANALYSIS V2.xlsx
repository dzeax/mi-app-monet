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cardata047.sharepoint.com/sites/EuropcarCRM/Documents partages/General/CRM workspace/02 - HEATMAP/"/>
    </mc:Choice>
  </mc:AlternateContent>
  <xr:revisionPtr revIDLastSave="0" documentId="8_{DBEB253A-BEE0-4B64-AFCD-8F3962F3E246}" xr6:coauthVersionLast="47" xr6:coauthVersionMax="47" xr10:uidLastSave="{00000000-0000-0000-0000-000000000000}"/>
  <bookViews>
    <workbookView xWindow="28680" yWindow="-120" windowWidth="29040" windowHeight="15720" firstSheet="3" activeTab="3" xr2:uid="{629F206A-E5DB-48AA-8133-DEFB827583F1}"/>
  </bookViews>
  <sheets>
    <sheet name="HEATMAP REQUEST" sheetId="16" r:id="rId1"/>
    <sheet name="GLOBAL KPIs" sheetId="1" r:id="rId2"/>
    <sheet name="SECTION KPIs" sheetId="2" r:id="rId3"/>
    <sheet name="SECTION KPIs V2" sheetId="18" r:id="rId4"/>
    <sheet name="DASHBOARD" sheetId="17" r:id="rId5"/>
    <sheet name="TCD SbS CR" sheetId="15" state="hidden" r:id="rId6"/>
    <sheet name="Sheet1" sheetId="7" state="hidden" r:id="rId7"/>
    <sheet name="Sheet2" sheetId="8" state="hidden" r:id="rId8"/>
    <sheet name="Sheet3" sheetId="9" state="hidden" r:id="rId9"/>
    <sheet name="TCD MONTHLY CR" sheetId="13" state="hidden" r:id="rId10"/>
    <sheet name="Sheet4" sheetId="10" state="hidden" r:id="rId11"/>
  </sheets>
  <calcPr calcId="191028"/>
  <pivotCaches>
    <pivotCache cacheId="1157" r:id="rId12"/>
    <pivotCache cacheId="1158" r:id="rId13"/>
    <pivotCache cacheId="1159" r:id="rId14"/>
    <pivotCache cacheId="116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6" l="1"/>
  <c r="B91" i="16"/>
  <c r="B90" i="16"/>
  <c r="B89" i="16"/>
  <c r="B88" i="16"/>
  <c r="B87" i="16"/>
  <c r="B86" i="16"/>
  <c r="B85" i="16"/>
  <c r="B84" i="16"/>
  <c r="B83" i="16"/>
  <c r="B82" i="16"/>
  <c r="B81" i="16"/>
  <c r="B80" i="16"/>
  <c r="B79" i="16"/>
  <c r="B78" i="16"/>
  <c r="B77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49" i="16"/>
  <c r="B42" i="16"/>
  <c r="B43" i="16"/>
  <c r="B44" i="16"/>
  <c r="B45" i="16"/>
  <c r="B46" i="16"/>
  <c r="B47" i="16"/>
  <c r="B48" i="16"/>
  <c r="A30" i="16" a="1"/>
  <c r="A30" i="16" s="1"/>
  <c r="B30" i="16" s="1"/>
  <c r="A29" i="16" a="1"/>
  <c r="A29" i="16" s="1"/>
  <c r="B29" i="16" s="1"/>
  <c r="A28" i="16" a="1"/>
  <c r="A28" i="16" s="1"/>
  <c r="B28" i="16" s="1"/>
  <c r="A27" i="16" a="1"/>
  <c r="A27" i="16" s="1"/>
  <c r="B27" i="16" s="1"/>
  <c r="A26" i="16" a="1"/>
  <c r="A26" i="16" s="1"/>
  <c r="B26" i="16" s="1"/>
  <c r="A25" i="16" a="1"/>
  <c r="A25" i="16" s="1"/>
  <c r="B25" i="16" s="1"/>
  <c r="A23" i="16" a="1"/>
  <c r="A23" i="16" s="1"/>
  <c r="B23" i="16" s="1"/>
  <c r="A22" i="16" a="1"/>
  <c r="A22" i="16" s="1"/>
  <c r="B22" i="16" s="1"/>
  <c r="A21" i="16" a="1"/>
  <c r="A21" i="16" s="1"/>
  <c r="B21" i="16" s="1"/>
  <c r="A20" i="16" a="1"/>
  <c r="A20" i="16" s="1"/>
  <c r="B20" i="16" s="1"/>
  <c r="A19" i="16" a="1"/>
  <c r="A19" i="16" s="1"/>
  <c r="B19" i="16" s="1"/>
  <c r="A18" i="16" a="1"/>
  <c r="A18" i="16" s="1"/>
  <c r="B18" i="16" s="1"/>
  <c r="A41" i="16" a="1"/>
  <c r="A41" i="16" s="1"/>
  <c r="B41" i="16" s="1"/>
  <c r="A40" i="16" a="1"/>
  <c r="A40" i="16" s="1"/>
  <c r="B40" i="16" s="1"/>
  <c r="A39" i="16" a="1"/>
  <c r="A39" i="16" s="1"/>
  <c r="B39" i="16" s="1"/>
  <c r="A38" i="16" a="1"/>
  <c r="A38" i="16" s="1"/>
  <c r="B38" i="16" s="1"/>
  <c r="A37" i="16" a="1"/>
  <c r="A37" i="16" s="1"/>
  <c r="B37" i="16" s="1"/>
  <c r="A36" i="16" a="1"/>
  <c r="A36" i="16" s="1"/>
  <c r="B36" i="16" s="1"/>
  <c r="A35" i="16" a="1"/>
  <c r="A35" i="16" s="1"/>
  <c r="B35" i="16" s="1"/>
  <c r="A34" i="16" a="1"/>
  <c r="A34" i="16" s="1"/>
  <c r="B34" i="16" s="1"/>
  <c r="A33" i="16" a="1"/>
  <c r="A33" i="16" s="1"/>
  <c r="B33" i="16" s="1"/>
  <c r="A32" i="16" a="1"/>
  <c r="A32" i="16" s="1"/>
  <c r="B32" i="16" s="1"/>
  <c r="A31" i="16" a="1"/>
  <c r="A31" i="16" s="1"/>
  <c r="B31" i="16" s="1"/>
  <c r="A24" i="16" a="1"/>
  <c r="A24" i="16" s="1"/>
  <c r="B24" i="16" s="1"/>
  <c r="A17" i="16" a="1"/>
  <c r="A17" i="16" s="1"/>
  <c r="B17" i="16" s="1"/>
  <c r="A16" i="16" a="1"/>
  <c r="A16" i="16" s="1"/>
  <c r="B16" i="16" s="1"/>
  <c r="A15" i="16" a="1"/>
  <c r="A15" i="16" s="1"/>
  <c r="B15" i="16" s="1"/>
  <c r="A14" i="16" a="1"/>
  <c r="A14" i="16" s="1"/>
  <c r="B14" i="16" s="1"/>
  <c r="A13" i="16" a="1"/>
  <c r="A13" i="16" s="1"/>
  <c r="B13" i="16" s="1"/>
  <c r="A12" i="16" a="1"/>
  <c r="A12" i="16" s="1"/>
  <c r="B12" i="16" s="1"/>
  <c r="A11" i="16" a="1"/>
  <c r="A11" i="16" s="1"/>
  <c r="B11" i="16" s="1"/>
  <c r="A10" i="16" a="1"/>
  <c r="A10" i="16" s="1"/>
  <c r="B10" i="16" s="1"/>
  <c r="A9" i="16" a="1"/>
  <c r="A9" i="16" s="1"/>
  <c r="B9" i="16" s="1"/>
  <c r="A8" i="16" a="1"/>
  <c r="A8" i="16" s="1"/>
  <c r="B8" i="16" s="1"/>
  <c r="A7" i="16" a="1"/>
  <c r="A7" i="16" s="1"/>
  <c r="B7" i="16" s="1"/>
  <c r="A6" i="16" a="1"/>
  <c r="A6" i="16" s="1"/>
  <c r="B6" i="16" s="1"/>
  <c r="A5" i="16" a="1"/>
  <c r="A5" i="16" s="1"/>
  <c r="B5" i="16" s="1"/>
  <c r="A4" i="16" a="1"/>
  <c r="A4" i="16" s="1"/>
  <c r="B4" i="16" s="1"/>
  <c r="A3" i="16" a="1"/>
  <c r="A3" i="16" s="1"/>
  <c r="B3" i="16" s="1"/>
  <c r="A2" i="16" a="1"/>
  <c r="A2" i="16" s="1"/>
  <c r="B2" i="16" s="1"/>
  <c r="S6" i="2"/>
  <c r="S7" i="2"/>
  <c r="U5" i="2"/>
  <c r="U6" i="2"/>
  <c r="U4" i="2"/>
  <c r="S5" i="2"/>
  <c r="S4" i="2"/>
  <c r="Q5" i="2"/>
  <c r="Q6" i="2"/>
  <c r="Q4" i="2"/>
  <c r="O4" i="2" l="1"/>
  <c r="O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<sst xmlns="http://schemas.openxmlformats.org/spreadsheetml/2006/main" count="3070" uniqueCount="579">
  <si>
    <t>DATE</t>
  </si>
  <si>
    <t>DAYS SINCE SENT</t>
  </si>
  <si>
    <t>MARKET</t>
  </si>
  <si>
    <t>CAMPAIGN NAME</t>
  </si>
  <si>
    <t>ACTION</t>
  </si>
  <si>
    <t>SEGMENTS</t>
  </si>
  <si>
    <t>TRACKING</t>
  </si>
  <si>
    <t>STATUS</t>
  </si>
  <si>
    <t>COMMENT</t>
  </si>
  <si>
    <t>COM</t>
  </si>
  <si>
    <t>DTB Q4</t>
  </si>
  <si>
    <t>Launch</t>
  </si>
  <si>
    <t>Privilege</t>
  </si>
  <si>
    <t>20251105_dtb-q4_launch_public_all_com_gc_w45_newsletter_abtest_contenta</t>
  </si>
  <si>
    <t>Completed</t>
  </si>
  <si>
    <t>Public</t>
  </si>
  <si>
    <t>20251105_dtb-q4_launch_public_all_com_gc_w45_newsletter_abtest_contentb</t>
  </si>
  <si>
    <t>No results</t>
  </si>
  <si>
    <t>20251105_dtb-q4_launch_privilege-all_all_com_gc_w45_newsletter_none</t>
  </si>
  <si>
    <t>FR</t>
  </si>
  <si>
    <t>20251105_dtb-q4_launch_public_all_fr_gc_w45_newsletter_v1</t>
  </si>
  <si>
    <t>20251105_dtb-q4_launch_public_all_fr_gc_w45_newsletter_v2premium</t>
  </si>
  <si>
    <t>DE</t>
  </si>
  <si>
    <t>20251105_dtb-q4_launch_public_all_de_gc_w45_newsletter_v1</t>
  </si>
  <si>
    <t>20251105_dtb-q4_launch_public_all_de_gc_w45_newsletter_v2premium</t>
  </si>
  <si>
    <t>UK</t>
  </si>
  <si>
    <t>20251105_dtb-q4_launch_public_all_uk_gc_w45_newsletter_v1</t>
  </si>
  <si>
    <t>20251105_dtb-q4_launch_public_all_uk_gc_w45_newsletter_v2premium</t>
  </si>
  <si>
    <t>20251105_dtb-q4_launch_privilege-all_all_fr_gc_w45_newsletter_v1</t>
  </si>
  <si>
    <t>20251105_dtb-q4_launch_privilege-all_all_fr_gc_w45_newsletter_v2premium</t>
  </si>
  <si>
    <t>20251105_dtb-q4_launch_privilege-all_all_de_gc_w45_newsletter_v1</t>
  </si>
  <si>
    <t>20251105_dtb-q4_launch_privilege-all_all_de_gc_w45_newsletter_v2premium</t>
  </si>
  <si>
    <t>20251105_dtb-q4_launch_privilege-all_all_uk_gc_w45_newsletter_v1</t>
  </si>
  <si>
    <t>20251105_dtb-q4_launch_privilege-all_all_uk_gc_w45_newsletter_v2premium</t>
  </si>
  <si>
    <t>Repush</t>
  </si>
  <si>
    <t>20251113_dtb-q4_repush_public_nonbookers_com_gc_w46_newsletter_none</t>
  </si>
  <si>
    <t>20251113_dtb-q4_repush_public_nonbookers_fr_gc_w46_newsletter_v1</t>
  </si>
  <si>
    <t>20251113_dtb-q4_repush_public_nonbookers_fr_gc_w46_newsletter_v2premium</t>
  </si>
  <si>
    <t>Request submitted</t>
  </si>
  <si>
    <t>20251113_dtb-q4_repush_public_nonbookers_de_gc_w46_newsletter_v1</t>
  </si>
  <si>
    <t>20251113_dtb-q4_repush_public_nonbookers_de_gc_w46_newsletter_v2premium</t>
  </si>
  <si>
    <t>20251113_dtb-q4_repush_public_nonbookers_uk_gc_w46_newsletter_v1</t>
  </si>
  <si>
    <t>20251113_dtb-q4_repush_public_nonbookers_uk_gc_w46_newsletter_v2premium</t>
  </si>
  <si>
    <t>20251113_dtb-q4_repush_privilege-all_nonbookers_com_gc_w46_newsletter_none</t>
  </si>
  <si>
    <t>DTB Q5</t>
  </si>
  <si>
    <t>20251113_dtb-q4_repush_privilege-all_nonbookers_fr_gc_w46_newsletter_v1</t>
  </si>
  <si>
    <t>DTB Q6</t>
  </si>
  <si>
    <t>20251113_dtb-q4_repush_privilege-all_nonbookers_fr_gc_w46_newsletter_v2premium</t>
  </si>
  <si>
    <t>DTB Q7</t>
  </si>
  <si>
    <t>20251113_dtb-q4_repush_privilege-all_nonbookers_de_gc_w46_newsletter_v1</t>
  </si>
  <si>
    <t>DTB Q8</t>
  </si>
  <si>
    <t>20251113_dtb-q4_repush_privilege-all_nonbookers_de_gc_w46_newsletter_v2premium</t>
  </si>
  <si>
    <t>DTB Q9</t>
  </si>
  <si>
    <t>20251113_dtb-q4_repush_privilege-all_nonbookers_uk_gc_w46_newsletter_v1</t>
  </si>
  <si>
    <t>DTB Q10</t>
  </si>
  <si>
    <t>20251113_dtb-q4_repush_privilege-all_nonbookers_uk_gc_w46_newsletter_v2premium</t>
  </si>
  <si>
    <t>Re-optin</t>
  </si>
  <si>
    <t>20251118_re-optin_launch_public_all_com_gc_w47_newsletter_none</t>
  </si>
  <si>
    <t>20251118_re-optin_launch_privilege-all_all_com_gc_w47_newsletter_none</t>
  </si>
  <si>
    <t>Black Friday to Cyber Monday</t>
  </si>
  <si>
    <t>20251126_blackfridaytocybermonday_launch_public_nonbookers_com_gc_w48_newsletter_none_ab1</t>
  </si>
  <si>
    <t>20251126_blackfridaytocybermonday_launch_public_nonbookers_com_gc_w48_newsletter_none_ab2</t>
  </si>
  <si>
    <t>20251126_blackfridaytocybermonday_launch_privilege-all_nonbookers_com_gc_w48_newsletter_none</t>
  </si>
  <si>
    <t>20251126_blackfridaytocybermonday_launch_privilege-all_nonbookers_fr_gc_w48_newsletter_none_ab1</t>
  </si>
  <si>
    <t>20251126_blackfridaytocybermonday_launch_privilege-all_nonbookers_fr_gc_w48_newsletter_none_ab2</t>
  </si>
  <si>
    <t>20251126_blackfridaytocybermonday_launch_privilege-all_nonbookers_fr_gc_w48_newsletter_none_ab3</t>
  </si>
  <si>
    <t>20251126_blackfridaytocybermonday_launch_privilege-all_nonbookers_de_gc_w48_newsletter_none_ab1</t>
  </si>
  <si>
    <t>20251126_blackfridaytocybermonday_launch_privilege-all_nonbookers_de_gc_w48_newsletter_none_ab2</t>
  </si>
  <si>
    <t>20251126_blackfridaytocybermonday_launch_privilege-all_nonbookers_de_gc_w48_newsletter_none_ab3</t>
  </si>
  <si>
    <t>20251201_blackfridaytocybermonday_repush_public_nonbookers_com_gc_w49_newsletter_none</t>
  </si>
  <si>
    <t xml:space="preserve">20251201_blackfridaytocybermonday_repush_privilege-all_nonbookers_com_gc_w49_newsletter_none </t>
  </si>
  <si>
    <t>20251201_blackfridaytocybermonday_repush_privilege-all_nonbookers_fr_gc_w49_newsletter_none_ab1</t>
  </si>
  <si>
    <t>20251201_blackfridaytocybermonday_repush_privilege-all_nonbookers_fr_gc_w49_newsletter_none_ab2</t>
  </si>
  <si>
    <t>20251201_blackfridaytocybermonday_repush_privilege-all_nonbookers_fr_gc_w49_newsletter_none_ab3</t>
  </si>
  <si>
    <t>20251201_blackfridaytocybermonday_repush_privilege-all_nonbookers_de_gc_w49_newsletter_none_ab1</t>
  </si>
  <si>
    <t>20251201_blackfridaytocybermonday_repush_privilege-all_nonbookers_de_gc_w49_newsletter_none_ab2</t>
  </si>
  <si>
    <t>20251201_blackfridaytocybermonday_repush_privilege-all_nonbookers_de_gc_w49_newsletter_none_ab3</t>
  </si>
  <si>
    <t>PFY Days</t>
  </si>
  <si>
    <t>20251211_pfydays_launch_privilege-all_all_com_gc_w50_newsletter_none</t>
  </si>
  <si>
    <t>AU</t>
  </si>
  <si>
    <t>20251211_pfydays_launch_privilege-all_all_au_gc_w50_newsletter_ab1</t>
  </si>
  <si>
    <t>20251211_pfydays_launch_privilege-all_all_au_gc_w50_newsletter_ab2</t>
  </si>
  <si>
    <t>20251211_pfydays_launch_privilege-all_all_fr_gc_w50_newsletter_ab1</t>
  </si>
  <si>
    <t>20251211_pfydays_launch_privilege-all_all_fr_gc_w50_newsletter_ab2</t>
  </si>
  <si>
    <t>ES</t>
  </si>
  <si>
    <t>20251211_pfydays_launch_privilege-all_all_es_gc_w50_newsletter_ab1</t>
  </si>
  <si>
    <t>20251211_pfydays_launch_privilege-all_all_es_gc_w50_newsletter_ab2</t>
  </si>
  <si>
    <t>20251211_pfydays_launch_privilege-all_all_de_gc_w50_newsletter_ab1</t>
  </si>
  <si>
    <t>20251211_pfydays_launch_privilege-all_all_de_gc_w50_newsletter_ab2</t>
  </si>
  <si>
    <t>20251211_pfydays_launch_privilege-all_all_uk_gc_w50_newsletter_ab1</t>
  </si>
  <si>
    <t>20251211_pfydays_launch_privilege-all_all_uk_gc_w50_newsletter_ab2</t>
  </si>
  <si>
    <t>20251214_pfydays_repush_privilege-all_all_com_gc_w51_newsletter_none</t>
  </si>
  <si>
    <t>20251214_pfydays_repush_privilege-all_all_au_gc_w51_newsletter_ab1</t>
  </si>
  <si>
    <t>20251214_pfydays_repush_privilege-all_all_au_gc_w51_newsletter_ab2</t>
  </si>
  <si>
    <t>20251214_pfydays_repush_privilege-all_all_fr_gc_w51_newsletter_ab1</t>
  </si>
  <si>
    <t>20251214_pfydays_repush_privilege-all_all_fr_gc_w51_newsletter_ab2</t>
  </si>
  <si>
    <t>20251214_pfydays_repush_privilege-all_all_es_gc_w51_newsletter_ab1</t>
  </si>
  <si>
    <t>20251214_pfydays_repush_privilege-all_all_es_gc_w51_newsletter_ab2</t>
  </si>
  <si>
    <t>20251214_pfydays_repush_privilege-all_all_de_gc_w51_newsletter_ab1</t>
  </si>
  <si>
    <t>20251214_pfydays_repush_privilege-all_all_de_gc_w51_newsletter_ab2</t>
  </si>
  <si>
    <t>20251214_pfydays_repush_privilege-all_all_uk_gc_w51_newsletter_ab1</t>
  </si>
  <si>
    <t>20251214_pfydays_repush_privilege-all_all_uk_gc_w51_newsletter_ab2</t>
  </si>
  <si>
    <t>Flash Sale - W51</t>
  </si>
  <si>
    <t>20251218_flashsale_launch_public_all_com_gc_w51_newsletter_none</t>
  </si>
  <si>
    <t>Flash Sale - W52</t>
  </si>
  <si>
    <t>20251218_flashsale_launch_privilege-all_all_com_gc_w51_newsletter_none</t>
  </si>
  <si>
    <t>15€ off January bookings</t>
  </si>
  <si>
    <t>20251230_15eur-off-january26_launch_public_prospects_com_gc_w53_newsletter_none</t>
  </si>
  <si>
    <t>Winter Sales</t>
  </si>
  <si>
    <t>20260109_wintersales_launch_public_all_com_gc_w02_newsletter_none</t>
  </si>
  <si>
    <t>20260109_wintersales_launch_privilege-all_all_com_gc_w02_newsletter_none</t>
  </si>
  <si>
    <t>20260115_wintersales_repush_public_all_com_gc_w03_newsletter_none</t>
  </si>
  <si>
    <t>20260115_wintersales_repush_privilege-all_all_com_gc_w03_newsletter_none</t>
  </si>
  <si>
    <t>D2B Autumn Vacation</t>
  </si>
  <si>
    <t>Lastcall</t>
  </si>
  <si>
    <t>20251011_d2bautumnvacation_lastcall_privilege-all_all_com_gc_w41_newsletter_abtest-contenta</t>
  </si>
  <si>
    <t>20251011_d2bautumnvacation_lastcall_privilege-all_all_com_gc_w41_newsletter_abtest-contentb</t>
  </si>
  <si>
    <t>20251204_blackfridaytocybermonday_lastcall_public_nonbookers_com_gc_w49_newsletter_none</t>
  </si>
  <si>
    <t>20251204_blackfridaytocybermonday_lastcall_privilege-all_nonbookers_com_gc_w49_newsletter_none</t>
  </si>
  <si>
    <t>20260120_wintersales_lastcall_public_all_com_gc_w04_newsletter_none</t>
  </si>
  <si>
    <t xml:space="preserve">20260120_wintersales_lastcall_privilege-all_all_com_gc_w04_newsletter_none </t>
  </si>
  <si>
    <t>Price From - W4/W5</t>
  </si>
  <si>
    <t>20260124_pricefrom_launch_public_all_com_gc_w04_newsletter_none</t>
  </si>
  <si>
    <t>20260124_pricefrom_launch_privilege-all_all_com_gc_w04_newsletter_none</t>
  </si>
  <si>
    <t>Valentines Day</t>
  </si>
  <si>
    <t xml:space="preserve">20260130_valentines-day_launch_privilege-all_nonbookers_com_gc_w05_newsletter_none                </t>
  </si>
  <si>
    <t>20260205_valentines-day_launch_public_nonbookers_com_gc_w06_newsletter_none</t>
  </si>
  <si>
    <t xml:space="preserve">20260205_valentines-day_repush_privilege-all_nonbookers_fr_gc_w06_newsletter_none </t>
  </si>
  <si>
    <t>20260208_valentines-day_repush_public_nonbookers_com_gc_w07_newsletter_none</t>
  </si>
  <si>
    <t>20260213_valentines-day_lastcall_public_nonbookers_com_gc_w07_newsletter_ab1</t>
  </si>
  <si>
    <t>20260213_valentines-day_lastcall_privilege-all_nonbookers_com_gc_w07_newsletter_ab1</t>
  </si>
  <si>
    <t>SEGMENT</t>
  </si>
  <si>
    <t>AUDIENCE SEGMENT</t>
  </si>
  <si>
    <t>DELIVERIES</t>
  </si>
  <si>
    <t>OPEN RATE</t>
  </si>
  <si>
    <t>CTR</t>
  </si>
  <si>
    <t>TOTAL CLICK</t>
  </si>
  <si>
    <t>UNIQUE CLICK</t>
  </si>
  <si>
    <t>UNSUB.</t>
  </si>
  <si>
    <t>REVENUE</t>
  </si>
  <si>
    <t>AB TEST</t>
  </si>
  <si>
    <t>Summer Anticipation</t>
  </si>
  <si>
    <t>Dormants non-bookers</t>
  </si>
  <si>
    <t>20250605_crm_summeranticipation_repush_gp_none_fr_w23</t>
  </si>
  <si>
    <t>34.42%</t>
  </si>
  <si>
    <t>D2B Q3</t>
  </si>
  <si>
    <t>Fullbase</t>
  </si>
  <si>
    <t>20250703_crm_d2bq3_initial_gp_none_fr_w27</t>
  </si>
  <si>
    <t>33.51%</t>
  </si>
  <si>
    <t xml:space="preserve">Dormant </t>
  </si>
  <si>
    <t>20250703_crm_d2bq3dormant_initial_gp_none_fr_w27</t>
  </si>
  <si>
    <t>39.35%</t>
  </si>
  <si>
    <t>Inactif</t>
  </si>
  <si>
    <t>20250703_crm_d2bq3inactive_initial_gp_none_fr_w27</t>
  </si>
  <si>
    <t>35.63%</t>
  </si>
  <si>
    <t>Openers non clickers</t>
  </si>
  <si>
    <t>20250708_crm_d2bq3_repush_gp_none_fr_w28</t>
  </si>
  <si>
    <t>81.38%</t>
  </si>
  <si>
    <t>Non bookers</t>
  </si>
  <si>
    <t>20250708_crm_d2bq3dormant_repush_gp_none_fr_w28</t>
  </si>
  <si>
    <t>38.36%</t>
  </si>
  <si>
    <t>20250708_crm_d2bq3inactive_repush_gp_none_fr_w28</t>
  </si>
  <si>
    <t>35.39%</t>
  </si>
  <si>
    <t>202507012_crm_d2bq3_repush_gp_none_fr_w28</t>
  </si>
  <si>
    <t>31.45%</t>
  </si>
  <si>
    <t>202507012_crm_d2bq3dormant_repush_gp_none_fr_w28</t>
  </si>
  <si>
    <t>40.55%</t>
  </si>
  <si>
    <t>20250712_crm_d2bq3inactive_repush_gp_none_fr_w28</t>
  </si>
  <si>
    <t>35.92%</t>
  </si>
  <si>
    <t>Last Minute</t>
  </si>
  <si>
    <t>20250718_crm_lastminute_initial_gp_none_fr_w29</t>
  </si>
  <si>
    <t>34.87%</t>
  </si>
  <si>
    <t>Bundles and protections</t>
  </si>
  <si>
    <t>Non-bookers :  no booking since 30/06/2025</t>
  </si>
  <si>
    <t>20250729_crm_bundlesandprotections_initial_gp_none_fr_w31</t>
  </si>
  <si>
    <t>38.08%</t>
  </si>
  <si>
    <t>Global Campaign August</t>
  </si>
  <si>
    <t>20250806_crm_globalcampaignaugust_initial_gp_none_fr_w32</t>
  </si>
  <si>
    <t>33.04%</t>
  </si>
  <si>
    <t>Non-bookers</t>
  </si>
  <si>
    <t>20250814_crm_globalcampaignaugust_repush_gp_none_fr_w33</t>
  </si>
  <si>
    <t>33.63%</t>
  </si>
  <si>
    <t>Premium fleet</t>
  </si>
  <si>
    <t>T3/T4 Privilege + T1/T2 who rented a premium car in the last 2 years</t>
  </si>
  <si>
    <t>20250825_privilege_globalpromo_premiumfleet_initial_all_all_none_uk_w35</t>
  </si>
  <si>
    <t>59.85%</t>
  </si>
  <si>
    <t>For you days</t>
  </si>
  <si>
    <t>Non-bookers since 05/08/2025</t>
  </si>
  <si>
    <t>20250905_crm_foryoudays_initial_gp_none_fr_w36</t>
  </si>
  <si>
    <t>32.81%</t>
  </si>
  <si>
    <t>20250905_privilege_globalpromo_foryoudays_initial_all_all_none_fr_w36</t>
  </si>
  <si>
    <t>35.91%</t>
  </si>
  <si>
    <t>Flash Sales September</t>
  </si>
  <si>
    <t>Non-bookers since 11/08</t>
  </si>
  <si>
    <t>20250911_crm_flashsaleseptember_initial_gp_none_fr_w37</t>
  </si>
  <si>
    <t>32.99%</t>
  </si>
  <si>
    <t>20250911_privilege_globalpromo_flashsaleseptember_initial_all_all_none_fr_w37</t>
  </si>
  <si>
    <t>36.39%</t>
  </si>
  <si>
    <t>Non-bookers of the first email</t>
  </si>
  <si>
    <t>20250914_crm_flashsaleseptember_repush_gp_none_fr_w38</t>
  </si>
  <si>
    <t>32.88%</t>
  </si>
  <si>
    <t>20250914_privilege_globalpromo_flashsaleseptember_repush_all_all_none_fr_w38</t>
  </si>
  <si>
    <t>36.05%</t>
  </si>
  <si>
    <t>Non-bookers since 30/08/2025</t>
  </si>
  <si>
    <t>20250930_d2bautumnvacation_launch_public_all_fr_gc_w40_newsletter_none</t>
  </si>
  <si>
    <t>34.97%%</t>
  </si>
  <si>
    <t>20250930_d2bautumnvacation_launch_privilege-all_all_fr_gc_w40_newsletter_none</t>
  </si>
  <si>
    <t>37.44%%</t>
  </si>
  <si>
    <t>20251009_d2bautumnvacation_repush_public_all_fr_gc_w41_newsletter_none</t>
  </si>
  <si>
    <t>33.77%%</t>
  </si>
  <si>
    <t>20251009_d2bautumnvacation_repush_privilege-all_all_fr_gc_w41_newsletter_none</t>
  </si>
  <si>
    <t>36.32%</t>
  </si>
  <si>
    <t>EV Flet Awarness</t>
  </si>
  <si>
    <t>Non-bookers since 17/09  Exclude : people that rented an EV in the last year</t>
  </si>
  <si>
    <t>20251017_evfleetawareness_launch_public_all_com_gc_w42_newsletter_v1</t>
  </si>
  <si>
    <t>37.55%%</t>
  </si>
  <si>
    <t>20251017_evfleetawareness_launch_public_all_com_gc_w42_newsletter_v2</t>
  </si>
  <si>
    <t>37.4%%</t>
  </si>
  <si>
    <t>20251017_evfleetawareness_launch_public_all_fr_gc_w42_newsletter_v1</t>
  </si>
  <si>
    <t>31.71%</t>
  </si>
  <si>
    <t>20251017_evfleetawareness_launch_public_all_fr_gc_w42_newsletter_v2</t>
  </si>
  <si>
    <t>20251017_evfleetawareness_launch_public_all_uk_gc_w42_newsletter_v1</t>
  </si>
  <si>
    <t>38.94%</t>
  </si>
  <si>
    <t>20251017_evfleetawareness_launch_public_all_uk_gc_w42_newsletter_v2</t>
  </si>
  <si>
    <t>38.62%</t>
  </si>
  <si>
    <t>20251017_evfleetawareness_launch_privilege-all_all_com_gc_w42_newsletter_none</t>
  </si>
  <si>
    <t>38.4%</t>
  </si>
  <si>
    <t>Tier Matching</t>
  </si>
  <si>
    <t>Addressable public customers
On the last 24 months, customer
That have realized between 1000 and 2999 € (fees out) - T2
That have realized between 3000 and 9 999 € (fees out)- T3
That have realized + 10000€ (hors fees) - T4</t>
  </si>
  <si>
    <t>20251023_tier-matching_launch_public_all_com_gc_w43_newsletter_t2</t>
  </si>
  <si>
    <t>46.29%</t>
  </si>
  <si>
    <t>20251023_tier-matching_launch_public_all_com_gc_w43_newsletter_t3</t>
  </si>
  <si>
    <t>49.27%</t>
  </si>
  <si>
    <t>20251023_tier-matching_launch_public_all_com_gc_w43_newsletter_t4</t>
  </si>
  <si>
    <t>48.77%</t>
  </si>
  <si>
    <t>Non-clickers of the first email</t>
  </si>
  <si>
    <t>20251030_tier-matching_repush_public_all_com_gc_w44_newsletter_t2</t>
  </si>
  <si>
    <t>45.5%</t>
  </si>
  <si>
    <t>20251030_tier-matching_repush_public_all_com_gc_w44_newsletter_t3</t>
  </si>
  <si>
    <t>46.4%</t>
  </si>
  <si>
    <t>20251030_tier-matching_repush_public_all_com_gc_w44_newsletter_t4</t>
  </si>
  <si>
    <t>53.29%</t>
  </si>
  <si>
    <t>D2B Q4</t>
  </si>
  <si>
    <t>Fullbase non-bookers of the last month</t>
  </si>
  <si>
    <t>36.4%</t>
  </si>
  <si>
    <t>36.17%</t>
  </si>
  <si>
    <t>37.97%</t>
  </si>
  <si>
    <t>46.18%</t>
  </si>
  <si>
    <t>54.93%</t>
  </si>
  <si>
    <t>44.12%</t>
  </si>
  <si>
    <t>50.83%</t>
  </si>
  <si>
    <t>46.43%</t>
  </si>
  <si>
    <t>56.4%</t>
  </si>
  <si>
    <t>46.11%</t>
  </si>
  <si>
    <t>59.1%</t>
  </si>
  <si>
    <t>48.6%</t>
  </si>
  <si>
    <t>60.14%</t>
  </si>
  <si>
    <t>53.79%</t>
  </si>
  <si>
    <t>67.05%</t>
  </si>
  <si>
    <t>First-email non bookers</t>
  </si>
  <si>
    <t>34.64%</t>
  </si>
  <si>
    <t>37.03%</t>
  </si>
  <si>
    <t>Made by Stéphane</t>
  </si>
  <si>
    <t>60.16%</t>
  </si>
  <si>
    <t>Non-bookers since dd/mm/yyyy</t>
  </si>
  <si>
    <t>34.68%</t>
  </si>
  <si>
    <t>34.59%</t>
  </si>
  <si>
    <t>35.06%</t>
  </si>
  <si>
    <t>34.93%</t>
  </si>
  <si>
    <t>33.6%</t>
  </si>
  <si>
    <t>35.48%</t>
  </si>
  <si>
    <t>36.11%</t>
  </si>
  <si>
    <t>36.95%</t>
  </si>
  <si>
    <t>36.64%</t>
  </si>
  <si>
    <t>44.2%</t>
  </si>
  <si>
    <t>36.9%</t>
  </si>
  <si>
    <t>36.3%</t>
  </si>
  <si>
    <t>36.34%</t>
  </si>
  <si>
    <t>36.04%</t>
  </si>
  <si>
    <t>36.31%</t>
  </si>
  <si>
    <t>122K</t>
  </si>
  <si>
    <t>37.77%</t>
  </si>
  <si>
    <t>0.97%</t>
  </si>
  <si>
    <t>0.32%</t>
  </si>
  <si>
    <t>40K</t>
  </si>
  <si>
    <t>8K</t>
  </si>
  <si>
    <t>43.78%</t>
  </si>
  <si>
    <t>1.69%</t>
  </si>
  <si>
    <t>0.39%</t>
  </si>
  <si>
    <t>4K</t>
  </si>
  <si>
    <t>20251211_pfydays_launch_privilege-all_all_au_gc_w50_newsletter_cold-prospects</t>
  </si>
  <si>
    <t>9K</t>
  </si>
  <si>
    <t>43.11%</t>
  </si>
  <si>
    <t>1.63%</t>
  </si>
  <si>
    <t>0.35%</t>
  </si>
  <si>
    <t>22K</t>
  </si>
  <si>
    <t>36.97%</t>
  </si>
  <si>
    <t>1.31%</t>
  </si>
  <si>
    <t>0.29%</t>
  </si>
  <si>
    <t>5K</t>
  </si>
  <si>
    <t>20251211_pfydays_launch_privilege-all_all_fr_gc_w50_newsletter_cold-prospects</t>
  </si>
  <si>
    <t>38.47%</t>
  </si>
  <si>
    <t>1.46%</t>
  </si>
  <si>
    <t>0.15%</t>
  </si>
  <si>
    <t>1K</t>
  </si>
  <si>
    <t>19K</t>
  </si>
  <si>
    <t>32.29%</t>
  </si>
  <si>
    <t>0.89%</t>
  </si>
  <si>
    <t>0.64%</t>
  </si>
  <si>
    <t>3K</t>
  </si>
  <si>
    <t>20251211_pfydays_launch_privilege-all_all_es_gc_w50_newsletter_cold-prospects</t>
  </si>
  <si>
    <t>7K</t>
  </si>
  <si>
    <t>34.09%</t>
  </si>
  <si>
    <t>0.83%</t>
  </si>
  <si>
    <t>0K</t>
  </si>
  <si>
    <t>31K</t>
  </si>
  <si>
    <t>38.31%</t>
  </si>
  <si>
    <t>5.43%</t>
  </si>
  <si>
    <t>0.33%</t>
  </si>
  <si>
    <t>11K</t>
  </si>
  <si>
    <t>20251211_pfydays_launch_privilege-all_all_de_gc_w50_newsletter_cold-prospects</t>
  </si>
  <si>
    <t>41.17%</t>
  </si>
  <si>
    <t>1.95%</t>
  </si>
  <si>
    <t>29K</t>
  </si>
  <si>
    <t>40.51%</t>
  </si>
  <si>
    <t>1.21%</t>
  </si>
  <si>
    <t>0.25%</t>
  </si>
  <si>
    <t>20251211_pfydays_launch_privilege-all_all_uk_gc_w50_newsletter_cold-prospects</t>
  </si>
  <si>
    <t>12K</t>
  </si>
  <si>
    <t>43.53%</t>
  </si>
  <si>
    <t>1.20%</t>
  </si>
  <si>
    <t xml:space="preserve">Fullbase members (excluding bookers since Dec 11) </t>
  </si>
  <si>
    <t>18K</t>
  </si>
  <si>
    <t>48.31%</t>
  </si>
  <si>
    <t>2.11%</t>
  </si>
  <si>
    <t>0.22%</t>
  </si>
  <si>
    <t>10K</t>
  </si>
  <si>
    <t>20251214_pfydays_repush_privilege-all_all_au_gc_w51_newsletter_none</t>
  </si>
  <si>
    <t>48.79%</t>
  </si>
  <si>
    <t>1.92%</t>
  </si>
  <si>
    <t>0.17%</t>
  </si>
  <si>
    <t>20251214_pfydays_repush_privilege-all_all_au_gc_w51_newsletter_cold-prospects</t>
  </si>
  <si>
    <t>41.56%</t>
  </si>
  <si>
    <t>1.34%</t>
  </si>
  <si>
    <t>20251214_pfydays_repush_privilege-all_all_fr_gc_w51_newsletter_none</t>
  </si>
  <si>
    <t>38.85%</t>
  </si>
  <si>
    <t>2.03%</t>
  </si>
  <si>
    <t>0.12%</t>
  </si>
  <si>
    <t>20251214_pfydays_repush_privilege-all_all_fr_gc_w51_newsletter_cold-prospects</t>
  </si>
  <si>
    <t>34.72%</t>
  </si>
  <si>
    <t>1.08%</t>
  </si>
  <si>
    <t>0.02%</t>
  </si>
  <si>
    <t>20251214_pfydays_repush_privilege-all_all_es_gc_w51_newsletter_none</t>
  </si>
  <si>
    <t>39.34%</t>
  </si>
  <si>
    <t>1.57%</t>
  </si>
  <si>
    <t>20251214_pfydays_repush_privilege-all_all_es_gc_w51_newsletter_cold-prospects</t>
  </si>
  <si>
    <t>29.87%</t>
  </si>
  <si>
    <t>1.17%</t>
  </si>
  <si>
    <t>0.24%</t>
  </si>
  <si>
    <t>20251214_pfydays_repush_privilege-all_all_de_gc_w51_newsletter_none</t>
  </si>
  <si>
    <t>20K</t>
  </si>
  <si>
    <t>39.72%</t>
  </si>
  <si>
    <t>2.42%</t>
  </si>
  <si>
    <t>0.16%</t>
  </si>
  <si>
    <t>20251214_pfydays_repush_privilege-all_all_de_gc_w51_newsletter_cold-prospects</t>
  </si>
  <si>
    <t>35.71%</t>
  </si>
  <si>
    <t>1.11%</t>
  </si>
  <si>
    <t>0.18%</t>
  </si>
  <si>
    <t>20251214_pfydays_repush_privilege-all_all_uk_gc_w51_newsletter_none</t>
  </si>
  <si>
    <t>15K</t>
  </si>
  <si>
    <t>47.21%</t>
  </si>
  <si>
    <t>1.89%</t>
  </si>
  <si>
    <t>6K</t>
  </si>
  <si>
    <t>20251214_pfydays_repush_privilege-all_all_uk_gc_w51_newsletter_cold-prospects</t>
  </si>
  <si>
    <t>40.60%</t>
  </si>
  <si>
    <t>0.13%</t>
  </si>
  <si>
    <t>37.81%</t>
  </si>
  <si>
    <t>1.09%</t>
  </si>
  <si>
    <t>0.19%</t>
  </si>
  <si>
    <t>21K</t>
  </si>
  <si>
    <t>41.7%</t>
  </si>
  <si>
    <t>1.48%</t>
  </si>
  <si>
    <t>23K</t>
  </si>
  <si>
    <t>Cold Prospects + Hot Prospects + Inactive &amp; Dormants Customers
Addressables with no current booking</t>
  </si>
  <si>
    <t>34.96%</t>
  </si>
  <si>
    <t>0.51%</t>
  </si>
  <si>
    <t>0.23%</t>
  </si>
  <si>
    <t>TOP PERFORMANCE</t>
  </si>
  <si>
    <t>LOW PERFORMANCE</t>
  </si>
  <si>
    <t>Audience</t>
  </si>
  <si>
    <t>Template</t>
  </si>
  <si>
    <t>SECTION NAME</t>
  </si>
  <si>
    <t xml:space="preserve">POSITION </t>
  </si>
  <si>
    <t>IMAGE CLICK RATE</t>
  </si>
  <si>
    <t>CTA CLICK RATE</t>
  </si>
  <si>
    <t>SECTION NAME2</t>
  </si>
  <si>
    <t>POSITION 2</t>
  </si>
  <si>
    <t>IMAGE CLICK RATE4</t>
  </si>
  <si>
    <t>CTA CLICK RATE5</t>
  </si>
  <si>
    <t>Summeranticipation</t>
  </si>
  <si>
    <t>Main Banner</t>
  </si>
  <si>
    <t>Top</t>
  </si>
  <si>
    <t>Podcast</t>
  </si>
  <si>
    <t>Bottom</t>
  </si>
  <si>
    <t>PERCENTAGE</t>
  </si>
  <si>
    <t>D2Bq3</t>
  </si>
  <si>
    <t>My EC banner</t>
  </si>
  <si>
    <t>No result</t>
  </si>
  <si>
    <t>D2Bq3Dormant</t>
  </si>
  <si>
    <t>Header</t>
  </si>
  <si>
    <t>Middle</t>
  </si>
  <si>
    <t>D2Bq3Inactive</t>
  </si>
  <si>
    <t>Visual left</t>
  </si>
  <si>
    <t>Grey Banner</t>
  </si>
  <si>
    <t>My EC banner + Visual left</t>
  </si>
  <si>
    <t>Bundlesandprotections</t>
  </si>
  <si>
    <t>No Result</t>
  </si>
  <si>
    <t>MY EC banner</t>
  </si>
  <si>
    <t>Globalcampaignaugust</t>
  </si>
  <si>
    <t>Premiumfleet</t>
  </si>
  <si>
    <t>/</t>
  </si>
  <si>
    <t>Foryoudays</t>
  </si>
  <si>
    <t>Flashsaleseptember</t>
  </si>
  <si>
    <t>App Banner</t>
  </si>
  <si>
    <t>7.4%</t>
  </si>
  <si>
    <t>14.9%</t>
  </si>
  <si>
    <t>2.1%</t>
  </si>
  <si>
    <t>3.7%</t>
  </si>
  <si>
    <t>66.5%</t>
  </si>
  <si>
    <t>Grey banner</t>
  </si>
  <si>
    <t>1.5%</t>
  </si>
  <si>
    <t>D2B Autumn vacation</t>
  </si>
  <si>
    <t>43.7%</t>
  </si>
  <si>
    <t>3.9%</t>
  </si>
  <si>
    <t>1.3%</t>
  </si>
  <si>
    <t>63.1%</t>
  </si>
  <si>
    <t>0.9%</t>
  </si>
  <si>
    <t>2.7%</t>
  </si>
  <si>
    <t>4.3%</t>
  </si>
  <si>
    <t>58.1%</t>
  </si>
  <si>
    <t>EV Fleet Awarness</t>
  </si>
  <si>
    <t>18.8%</t>
  </si>
  <si>
    <t>3.8%</t>
  </si>
  <si>
    <t>2.9%</t>
  </si>
  <si>
    <t>9.6%</t>
  </si>
  <si>
    <t>Privilege for you</t>
  </si>
  <si>
    <t>11.2%</t>
  </si>
  <si>
    <t>Toussaint bloc</t>
  </si>
  <si>
    <t>4.1%</t>
  </si>
  <si>
    <t>3.5%</t>
  </si>
  <si>
    <t>Tier-matching</t>
  </si>
  <si>
    <t>46.7%</t>
  </si>
  <si>
    <t>20251105_dtb-q4_launch_public_all_com_gc_w45_newsletter_none</t>
  </si>
  <si>
    <t>47.3%</t>
  </si>
  <si>
    <t>Insertion bloc</t>
  </si>
  <si>
    <t>2.2%</t>
  </si>
  <si>
    <t>6.2%</t>
  </si>
  <si>
    <t>5.7%</t>
  </si>
  <si>
    <t>53.2%</t>
  </si>
  <si>
    <t>4.5%</t>
  </si>
  <si>
    <t>2.2</t>
  </si>
  <si>
    <t>6.9%</t>
  </si>
  <si>
    <t>49.8%</t>
  </si>
  <si>
    <t>37.9%</t>
  </si>
  <si>
    <t>59.7%</t>
  </si>
  <si>
    <t>70.7%</t>
  </si>
  <si>
    <t>58.3%</t>
  </si>
  <si>
    <t>77.4%</t>
  </si>
  <si>
    <t>53.4%</t>
  </si>
  <si>
    <t>82.4%</t>
  </si>
  <si>
    <t>56.6%</t>
  </si>
  <si>
    <t>3.6%</t>
  </si>
  <si>
    <t>53.8%</t>
  </si>
  <si>
    <t>App banner</t>
  </si>
  <si>
    <t>0.4%</t>
  </si>
  <si>
    <t>78.5%</t>
  </si>
  <si>
    <t>0.6%</t>
  </si>
  <si>
    <t>66.8%</t>
  </si>
  <si>
    <t>4.6%</t>
  </si>
  <si>
    <t>55.4%</t>
  </si>
  <si>
    <t>63.4%</t>
  </si>
  <si>
    <t>Green insertion bloc</t>
  </si>
  <si>
    <t>7.9%</t>
  </si>
  <si>
    <t>68.5%</t>
  </si>
  <si>
    <t>1.6%</t>
  </si>
  <si>
    <t>73.5%</t>
  </si>
  <si>
    <t>63.8%</t>
  </si>
  <si>
    <t>66.4%</t>
  </si>
  <si>
    <t>74.7%</t>
  </si>
  <si>
    <t>Privilege benefit</t>
  </si>
  <si>
    <t>57.9%</t>
  </si>
  <si>
    <t>Green banner</t>
  </si>
  <si>
    <t>1.9%</t>
  </si>
  <si>
    <t>73.6%</t>
  </si>
  <si>
    <t>74.9%</t>
  </si>
  <si>
    <t>1.1%</t>
  </si>
  <si>
    <t>75.9%</t>
  </si>
  <si>
    <t>65.3%</t>
  </si>
  <si>
    <t>59.8%</t>
  </si>
  <si>
    <t>65.6%</t>
  </si>
  <si>
    <t>72.3%</t>
  </si>
  <si>
    <t>30.9%</t>
  </si>
  <si>
    <t>1.8%</t>
  </si>
  <si>
    <t>71.2%</t>
  </si>
  <si>
    <t>24.3%</t>
  </si>
  <si>
    <t>6.6%</t>
  </si>
  <si>
    <t>AUDIENCE</t>
  </si>
  <si>
    <t>VISUAL  CLICK RATE</t>
  </si>
  <si>
    <t>INSERTION BLOC TYPE</t>
  </si>
  <si>
    <t>VISUAL CLICK RATE</t>
  </si>
  <si>
    <t>CTA CLICK RATE2</t>
  </si>
  <si>
    <t>CLICK ALERTS</t>
  </si>
  <si>
    <t>grey banner</t>
  </si>
  <si>
    <t>16.7%</t>
  </si>
  <si>
    <t>1 visual</t>
  </si>
  <si>
    <t>7.1%</t>
  </si>
  <si>
    <t>1.0%</t>
  </si>
  <si>
    <t>9.1%</t>
  </si>
  <si>
    <t>recurring bloc</t>
  </si>
  <si>
    <t>12.3%</t>
  </si>
  <si>
    <t>9.3%</t>
  </si>
  <si>
    <t>7.8%</t>
  </si>
  <si>
    <t>pink promo</t>
  </si>
  <si>
    <t>5.5%</t>
  </si>
  <si>
    <t>9.4%</t>
  </si>
  <si>
    <t>0.0%</t>
  </si>
  <si>
    <t>3 columns</t>
  </si>
  <si>
    <t>Best emails/campaigns on Global KPIs</t>
  </si>
  <si>
    <t>Best emails/campaigns on heatmap KPIs</t>
  </si>
  <si>
    <t>Bloc/section that works the best</t>
  </si>
  <si>
    <t>Bloc/section that works the least</t>
  </si>
  <si>
    <t>Étiquettes de lignes</t>
  </si>
  <si>
    <t>Moyenne de IMAGE CLICK RATE</t>
  </si>
  <si>
    <t>Moyenne de CTA CLICK RATE</t>
  </si>
  <si>
    <t>Moyenne de IMAGE CLICK RATE4</t>
  </si>
  <si>
    <t>Moyenne de CTA CLICK RATE5</t>
  </si>
  <si>
    <t>Total général</t>
  </si>
  <si>
    <t>IMPORTANT DETAIL</t>
  </si>
  <si>
    <t>In order to insert the PivotTable you selected, we had to organise your data in columns with a single header row.</t>
  </si>
  <si>
    <t>N° MONTH</t>
  </si>
  <si>
    <t>MONTH</t>
  </si>
  <si>
    <t>POSITION (TOP/MIDDLE/BOTTOM)</t>
  </si>
  <si>
    <t>POSITION (TOP/MIDDLE/BOTTOM)2</t>
  </si>
  <si>
    <t>IMAGE CLICK RATE2</t>
  </si>
  <si>
    <t>June</t>
  </si>
  <si>
    <t>July</t>
  </si>
  <si>
    <t>Middle &amp; Bottom</t>
  </si>
  <si>
    <t>August</t>
  </si>
  <si>
    <t>September</t>
  </si>
  <si>
    <t>NAME CAMPAIGN</t>
  </si>
  <si>
    <t>TOTAL CLICKS</t>
  </si>
  <si>
    <t>UNIQUE CLICKS</t>
  </si>
  <si>
    <t>Sum of TOTAL CLICK</t>
  </si>
  <si>
    <t>Sum of UNIQUE CLICK</t>
  </si>
  <si>
    <t>Total Summer Anticipation</t>
  </si>
  <si>
    <t>Total D2B Q3</t>
  </si>
  <si>
    <t>Total Last Minute</t>
  </si>
  <si>
    <t>Total Bundles and protections</t>
  </si>
  <si>
    <t>Lastminute</t>
  </si>
  <si>
    <t>Total Global Campaign August</t>
  </si>
  <si>
    <t>Total Premium fleet</t>
  </si>
  <si>
    <t>Total For you days</t>
  </si>
  <si>
    <t>Sum of TOTAL CLICKS</t>
  </si>
  <si>
    <t>Sum of UNIQUE CLICKS</t>
  </si>
  <si>
    <t>Total 6</t>
  </si>
  <si>
    <t>Total 7</t>
  </si>
  <si>
    <t>Total 8</t>
  </si>
  <si>
    <t>Total 9</t>
  </si>
  <si>
    <t>(Plusieurs éléments)</t>
  </si>
  <si>
    <t>(Tous)</t>
  </si>
  <si>
    <t>Somme de TOTAL CLICKS</t>
  </si>
  <si>
    <t>Somme de UNIQUE CLICKS</t>
  </si>
  <si>
    <t>LastCall</t>
  </si>
  <si>
    <t>Initial</t>
  </si>
  <si>
    <t>20.8%</t>
  </si>
  <si>
    <t>18.6%</t>
  </si>
  <si>
    <t>2.8%</t>
  </si>
  <si>
    <t>67.1%</t>
  </si>
  <si>
    <t>0.5%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</si>
</sst>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1D1C1D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6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center" wrapText="1"/>
    </xf>
    <xf numFmtId="3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9" fontId="0" fillId="0" borderId="0" xfId="1" applyFont="1" applyFill="1" applyAlignment="1">
      <alignment horizontal="left" vertical="center" wrapText="1"/>
    </xf>
    <xf numFmtId="9" fontId="0" fillId="0" borderId="0" xfId="1" applyFon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10" fontId="0" fillId="0" borderId="0" xfId="1" applyNumberFormat="1" applyFont="1" applyFill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9" fontId="1" fillId="0" borderId="0" xfId="1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4" borderId="0" xfId="0" applyFill="1" applyAlignment="1">
      <alignment horizontal="left" wrapText="1"/>
    </xf>
    <xf numFmtId="0" fontId="0" fillId="2" borderId="0" xfId="0" applyFill="1" applyAlignment="1">
      <alignment horizontal="left" wrapText="1"/>
    </xf>
    <xf numFmtId="10" fontId="0" fillId="2" borderId="0" xfId="0" applyNumberFormat="1" applyFill="1" applyAlignment="1">
      <alignment horizontal="left" wrapText="1"/>
    </xf>
    <xf numFmtId="10" fontId="0" fillId="0" borderId="0" xfId="0" applyNumberFormat="1" applyAlignment="1">
      <alignment horizontal="left" wrapText="1"/>
    </xf>
    <xf numFmtId="10" fontId="4" fillId="4" borderId="0" xfId="1" applyNumberFormat="1" applyFont="1" applyFill="1" applyBorder="1" applyAlignment="1">
      <alignment horizontal="left" wrapText="1"/>
    </xf>
    <xf numFmtId="10" fontId="4" fillId="2" borderId="0" xfId="1" applyNumberFormat="1" applyFont="1" applyFill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0" fontId="0" fillId="0" borderId="0" xfId="1" applyNumberFormat="1" applyFont="1" applyFill="1" applyBorder="1" applyAlignment="1">
      <alignment horizontal="left" wrapText="1"/>
    </xf>
    <xf numFmtId="10" fontId="0" fillId="4" borderId="0" xfId="1" applyNumberFormat="1" applyFont="1" applyFill="1" applyBorder="1" applyAlignment="1">
      <alignment horizontal="left" wrapText="1"/>
    </xf>
    <xf numFmtId="10" fontId="0" fillId="2" borderId="0" xfId="1" applyNumberFormat="1" applyFont="1" applyFill="1" applyBorder="1" applyAlignment="1">
      <alignment horizontal="left" wrapText="1"/>
    </xf>
    <xf numFmtId="10" fontId="1" fillId="0" borderId="0" xfId="1" applyNumberFormat="1" applyFont="1" applyFill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0" borderId="0" xfId="0" applyFont="1"/>
    <xf numFmtId="0" fontId="10" fillId="0" borderId="0" xfId="0" applyFont="1" applyAlignment="1">
      <alignment horizontal="left" wrapText="1"/>
    </xf>
    <xf numFmtId="10" fontId="4" fillId="0" borderId="0" xfId="1" applyNumberFormat="1" applyFont="1" applyFill="1" applyBorder="1" applyAlignment="1">
      <alignment horizontal="left" wrapText="1"/>
    </xf>
    <xf numFmtId="0" fontId="12" fillId="0" borderId="0" xfId="0" applyFont="1" applyAlignment="1">
      <alignment horizontal="left" wrapText="1"/>
    </xf>
    <xf numFmtId="9" fontId="0" fillId="0" borderId="0" xfId="0" applyNumberFormat="1" applyAlignment="1">
      <alignment horizontal="left" vertical="center" wrapText="1"/>
    </xf>
    <xf numFmtId="9" fontId="12" fillId="0" borderId="0" xfId="0" applyNumberFormat="1" applyFont="1" applyAlignment="1">
      <alignment horizontal="left" wrapText="1"/>
    </xf>
    <xf numFmtId="14" fontId="0" fillId="0" borderId="0" xfId="0" applyNumberFormat="1" applyAlignment="1">
      <alignment horizontal="right" vertical="center" wrapText="1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9" fontId="0" fillId="0" borderId="0" xfId="1" applyFont="1" applyAlignment="1">
      <alignment horizontal="left" vertical="center"/>
    </xf>
    <xf numFmtId="10" fontId="0" fillId="0" borderId="0" xfId="1" applyNumberFormat="1" applyFont="1" applyFill="1" applyAlignment="1">
      <alignment horizontal="left" vertical="center"/>
    </xf>
    <xf numFmtId="0" fontId="10" fillId="4" borderId="0" xfId="0" applyFont="1" applyFill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10" fillId="0" borderId="0" xfId="0" applyFont="1" applyAlignment="1">
      <alignment horizontal="left" wrapText="1"/>
    </xf>
  </cellXfs>
  <cellStyles count="2">
    <cellStyle name="Normal" xfId="0" builtinId="0"/>
    <cellStyle name="Porcentaje" xfId="1" builtinId="5"/>
  </cellStyles>
  <dxfs count="83"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color theme="9"/>
      </font>
    </dxf>
    <dxf>
      <font>
        <color rgb="FF009900"/>
      </font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14" formatCode="0.00%"/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color theme="9"/>
      </font>
    </dxf>
    <dxf>
      <font>
        <color rgb="FF0099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30" formatCode="@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dd/mm/yyyy"/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color theme="9"/>
      </font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19" formatCode="dd/mm/yyyy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theme="0"/>
      </font>
      <fill>
        <patternFill>
          <bgColor theme="9" tint="0.39994506668294322"/>
        </patternFill>
      </fill>
    </dxf>
    <dxf>
      <font>
        <color rgb="FF009900"/>
      </font>
    </dxf>
    <dxf>
      <font>
        <color theme="9"/>
      </font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0099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[HEATMAP DATA ANALYSIS V2.xlsx]TCD SbS CR!Tableau croisé dynamique5</c:name>
    <c:fmtId val="1"/>
  </c:pivotSource>
  <c:chart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rgbClr val="009900"/>
            </a:solidFill>
            <a:ln>
              <a:noFill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SbS CR'!$B$3</c:f>
              <c:strCache>
                <c:ptCount val="1"/>
                <c:pt idx="0">
                  <c:v>Moyenne de IMAGE CLICK RATE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</a:ln>
            <a:effectLst>
              <a:glow rad="139700">
                <a:schemeClr val="accent6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77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SbS CR'!$A$4:$A$23</c:f>
              <c:strCache>
                <c:ptCount val="19"/>
                <c:pt idx="0">
                  <c:v>Bundlesandprotections</c:v>
                </c:pt>
                <c:pt idx="1">
                  <c:v>D2Bq3</c:v>
                </c:pt>
                <c:pt idx="2">
                  <c:v>D2Bq3Dormant</c:v>
                </c:pt>
                <c:pt idx="3">
                  <c:v>D2Bq3Inactive</c:v>
                </c:pt>
                <c:pt idx="4">
                  <c:v>Flashsaleseptember</c:v>
                </c:pt>
                <c:pt idx="5">
                  <c:v>Foryoudays</c:v>
                </c:pt>
                <c:pt idx="6">
                  <c:v>Globalcampaignaugust</c:v>
                </c:pt>
                <c:pt idx="7">
                  <c:v>Premiumfleet</c:v>
                </c:pt>
                <c:pt idx="8">
                  <c:v>Summeranticipation</c:v>
                </c:pt>
                <c:pt idx="9">
                  <c:v>D2B Autumn vacation</c:v>
                </c:pt>
                <c:pt idx="10">
                  <c:v>EV Fleet Awarness</c:v>
                </c:pt>
                <c:pt idx="11">
                  <c:v>Tier-matching</c:v>
                </c:pt>
                <c:pt idx="12">
                  <c:v>DTB Q4</c:v>
                </c:pt>
                <c:pt idx="13">
                  <c:v>Re-optin</c:v>
                </c:pt>
                <c:pt idx="14">
                  <c:v>Black Friday to Cyber Monday</c:v>
                </c:pt>
                <c:pt idx="15">
                  <c:v>PFY Days</c:v>
                </c:pt>
                <c:pt idx="16">
                  <c:v>Flash Sale - W51</c:v>
                </c:pt>
                <c:pt idx="17">
                  <c:v>Flash Sale - W52</c:v>
                </c:pt>
                <c:pt idx="18">
                  <c:v>15€ off January bookings</c:v>
                </c:pt>
              </c:strCache>
            </c:strRef>
          </c:cat>
          <c:val>
            <c:numRef>
              <c:f>'TCD SbS CR'!$B$4:$B$23</c:f>
              <c:numCache>
                <c:formatCode>General</c:formatCode>
                <c:ptCount val="19"/>
                <c:pt idx="0">
                  <c:v>3.3000000000000002E-2</c:v>
                </c:pt>
                <c:pt idx="1">
                  <c:v>6.9666666666666668E-2</c:v>
                </c:pt>
                <c:pt idx="2">
                  <c:v>7.5333333333333335E-2</c:v>
                </c:pt>
                <c:pt idx="3">
                  <c:v>8.900000000000001E-2</c:v>
                </c:pt>
                <c:pt idx="4" formatCode="0.00%">
                  <c:v>0.11799999999999999</c:v>
                </c:pt>
                <c:pt idx="5" formatCode="0.00%">
                  <c:v>4.5999999999999999E-2</c:v>
                </c:pt>
                <c:pt idx="6" formatCode="0.00%">
                  <c:v>5.1500000000000004E-2</c:v>
                </c:pt>
                <c:pt idx="7" formatCode="0.00%">
                  <c:v>6.6000000000000003E-2</c:v>
                </c:pt>
                <c:pt idx="8">
                  <c:v>7.2999999999999995E-2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0-4702-A750-CC6B4DEB8167}"/>
            </c:ext>
          </c:extLst>
        </c:ser>
        <c:ser>
          <c:idx val="1"/>
          <c:order val="1"/>
          <c:tx>
            <c:strRef>
              <c:f>'TCD SbS CR'!$C$3</c:f>
              <c:strCache>
                <c:ptCount val="1"/>
                <c:pt idx="0">
                  <c:v>Moyenne de CTA CLICK RATE</c:v>
                </c:pt>
              </c:strCache>
            </c:strRef>
          </c:tx>
          <c:spPr>
            <a:ln w="22225" cap="rnd">
              <a:solidFill>
                <a:schemeClr val="accent6">
                  <a:shade val="76000"/>
                </a:schemeClr>
              </a:solidFill>
            </a:ln>
            <a:effectLst>
              <a:glow rad="139700">
                <a:schemeClr val="accent6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rgbClr val="009900"/>
              </a:solidFill>
              <a:ln>
                <a:noFill/>
              </a:ln>
              <a:effectLst>
                <a:glow rad="63500">
                  <a:schemeClr val="accent6">
                    <a:shade val="76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SbS CR'!$A$4:$A$23</c:f>
              <c:strCache>
                <c:ptCount val="19"/>
                <c:pt idx="0">
                  <c:v>Bundlesandprotections</c:v>
                </c:pt>
                <c:pt idx="1">
                  <c:v>D2Bq3</c:v>
                </c:pt>
                <c:pt idx="2">
                  <c:v>D2Bq3Dormant</c:v>
                </c:pt>
                <c:pt idx="3">
                  <c:v>D2Bq3Inactive</c:v>
                </c:pt>
                <c:pt idx="4">
                  <c:v>Flashsaleseptember</c:v>
                </c:pt>
                <c:pt idx="5">
                  <c:v>Foryoudays</c:v>
                </c:pt>
                <c:pt idx="6">
                  <c:v>Globalcampaignaugust</c:v>
                </c:pt>
                <c:pt idx="7">
                  <c:v>Premiumfleet</c:v>
                </c:pt>
                <c:pt idx="8">
                  <c:v>Summeranticipation</c:v>
                </c:pt>
                <c:pt idx="9">
                  <c:v>D2B Autumn vacation</c:v>
                </c:pt>
                <c:pt idx="10">
                  <c:v>EV Fleet Awarness</c:v>
                </c:pt>
                <c:pt idx="11">
                  <c:v>Tier-matching</c:v>
                </c:pt>
                <c:pt idx="12">
                  <c:v>DTB Q4</c:v>
                </c:pt>
                <c:pt idx="13">
                  <c:v>Re-optin</c:v>
                </c:pt>
                <c:pt idx="14">
                  <c:v>Black Friday to Cyber Monday</c:v>
                </c:pt>
                <c:pt idx="15">
                  <c:v>PFY Days</c:v>
                </c:pt>
                <c:pt idx="16">
                  <c:v>Flash Sale - W51</c:v>
                </c:pt>
                <c:pt idx="17">
                  <c:v>Flash Sale - W52</c:v>
                </c:pt>
                <c:pt idx="18">
                  <c:v>15€ off January bookings</c:v>
                </c:pt>
              </c:strCache>
            </c:strRef>
          </c:cat>
          <c:val>
            <c:numRef>
              <c:f>'TCD SbS CR'!$C$4:$C$23</c:f>
              <c:numCache>
                <c:formatCode>General</c:formatCode>
                <c:ptCount val="19"/>
                <c:pt idx="0">
                  <c:v>0.30249999999999999</c:v>
                </c:pt>
                <c:pt idx="1">
                  <c:v>0.32833333333333331</c:v>
                </c:pt>
                <c:pt idx="2">
                  <c:v>0.42333333333333334</c:v>
                </c:pt>
                <c:pt idx="3">
                  <c:v>0.29199999999999998</c:v>
                </c:pt>
                <c:pt idx="4" formatCode="0.00%">
                  <c:v>0.42849999999999999</c:v>
                </c:pt>
                <c:pt idx="5" formatCode="0.00%">
                  <c:v>0.32750000000000001</c:v>
                </c:pt>
                <c:pt idx="6" formatCode="0.00%">
                  <c:v>0.27500000000000002</c:v>
                </c:pt>
                <c:pt idx="7" formatCode="0.00%">
                  <c:v>0.40500000000000003</c:v>
                </c:pt>
                <c:pt idx="8">
                  <c:v>0.42099999999999999</c:v>
                </c:pt>
                <c:pt idx="9">
                  <c:v>0.48</c:v>
                </c:pt>
                <c:pt idx="10">
                  <c:v>0</c:v>
                </c:pt>
                <c:pt idx="11">
                  <c:v>0.8</c:v>
                </c:pt>
                <c:pt idx="12">
                  <c:v>0</c:v>
                </c:pt>
                <c:pt idx="13">
                  <c:v>0</c:v>
                </c:pt>
                <c:pt idx="14">
                  <c:v>0.72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80-4702-A750-CC6B4DEB8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728863"/>
        <c:axId val="634729343"/>
      </c:lineChart>
      <c:catAx>
        <c:axId val="6347288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729343"/>
        <c:crosses val="autoZero"/>
        <c:auto val="1"/>
        <c:lblAlgn val="ctr"/>
        <c:lblOffset val="100"/>
        <c:noMultiLvlLbl val="0"/>
      </c:catAx>
      <c:valAx>
        <c:axId val="6347293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72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[HEATMAP DATA ANALYSIS V2.xlsx]TCD SbS CR!Tableau croisé dynamique6</c:name>
    <c:fmtId val="1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SbS CR'!$O$3</c:f>
              <c:strCache>
                <c:ptCount val="1"/>
                <c:pt idx="0">
                  <c:v>Moyenne de IMAGE CLICK RATE4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SbS CR'!$N$4:$N$23</c:f>
              <c:strCache>
                <c:ptCount val="19"/>
                <c:pt idx="0">
                  <c:v>Bundlesandprotections</c:v>
                </c:pt>
                <c:pt idx="1">
                  <c:v>D2Bq3</c:v>
                </c:pt>
                <c:pt idx="2">
                  <c:v>D2Bq3Dormant</c:v>
                </c:pt>
                <c:pt idx="3">
                  <c:v>D2Bq3Inactive</c:v>
                </c:pt>
                <c:pt idx="4">
                  <c:v>Flashsaleseptember</c:v>
                </c:pt>
                <c:pt idx="5">
                  <c:v>Foryoudays</c:v>
                </c:pt>
                <c:pt idx="6">
                  <c:v>Globalcampaignaugust</c:v>
                </c:pt>
                <c:pt idx="7">
                  <c:v>Premiumfleet</c:v>
                </c:pt>
                <c:pt idx="8">
                  <c:v>Summeranticipation</c:v>
                </c:pt>
                <c:pt idx="9">
                  <c:v>D2B Autumn vacation</c:v>
                </c:pt>
                <c:pt idx="10">
                  <c:v>EV Fleet Awarness</c:v>
                </c:pt>
                <c:pt idx="11">
                  <c:v>Tier-matching</c:v>
                </c:pt>
                <c:pt idx="12">
                  <c:v>DTB Q4</c:v>
                </c:pt>
                <c:pt idx="13">
                  <c:v>Re-optin</c:v>
                </c:pt>
                <c:pt idx="14">
                  <c:v>Black Friday to Cyber Monday</c:v>
                </c:pt>
                <c:pt idx="15">
                  <c:v>PFY Days</c:v>
                </c:pt>
                <c:pt idx="16">
                  <c:v>Flash Sale - W51</c:v>
                </c:pt>
                <c:pt idx="17">
                  <c:v>Flash Sale - W52</c:v>
                </c:pt>
                <c:pt idx="18">
                  <c:v>15€ off January bookings</c:v>
                </c:pt>
              </c:strCache>
            </c:strRef>
          </c:cat>
          <c:val>
            <c:numRef>
              <c:f>'TCD SbS CR'!$O$4:$O$23</c:f>
              <c:numCache>
                <c:formatCode>0.00%</c:formatCode>
                <c:ptCount val="19"/>
                <c:pt idx="0">
                  <c:v>1.7000000000000001E-2</c:v>
                </c:pt>
                <c:pt idx="1">
                  <c:v>0</c:v>
                </c:pt>
                <c:pt idx="2">
                  <c:v>5.4999999999999997E-3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8.9999999999999993E-3</c:v>
                </c:pt>
                <c:pt idx="10">
                  <c:v>0.02</c:v>
                </c:pt>
                <c:pt idx="12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32-48B4-A914-CA97B9E836A4}"/>
            </c:ext>
          </c:extLst>
        </c:ser>
        <c:ser>
          <c:idx val="1"/>
          <c:order val="1"/>
          <c:tx>
            <c:strRef>
              <c:f>'TCD SbS CR'!$P$3</c:f>
              <c:strCache>
                <c:ptCount val="1"/>
                <c:pt idx="0">
                  <c:v>Moyenne de CTA CLICK RATE5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SbS CR'!$N$4:$N$23</c:f>
              <c:strCache>
                <c:ptCount val="19"/>
                <c:pt idx="0">
                  <c:v>Bundlesandprotections</c:v>
                </c:pt>
                <c:pt idx="1">
                  <c:v>D2Bq3</c:v>
                </c:pt>
                <c:pt idx="2">
                  <c:v>D2Bq3Dormant</c:v>
                </c:pt>
                <c:pt idx="3">
                  <c:v>D2Bq3Inactive</c:v>
                </c:pt>
                <c:pt idx="4">
                  <c:v>Flashsaleseptember</c:v>
                </c:pt>
                <c:pt idx="5">
                  <c:v>Foryoudays</c:v>
                </c:pt>
                <c:pt idx="6">
                  <c:v>Globalcampaignaugust</c:v>
                </c:pt>
                <c:pt idx="7">
                  <c:v>Premiumfleet</c:v>
                </c:pt>
                <c:pt idx="8">
                  <c:v>Summeranticipation</c:v>
                </c:pt>
                <c:pt idx="9">
                  <c:v>D2B Autumn vacation</c:v>
                </c:pt>
                <c:pt idx="10">
                  <c:v>EV Fleet Awarness</c:v>
                </c:pt>
                <c:pt idx="11">
                  <c:v>Tier-matching</c:v>
                </c:pt>
                <c:pt idx="12">
                  <c:v>DTB Q4</c:v>
                </c:pt>
                <c:pt idx="13">
                  <c:v>Re-optin</c:v>
                </c:pt>
                <c:pt idx="14">
                  <c:v>Black Friday to Cyber Monday</c:v>
                </c:pt>
                <c:pt idx="15">
                  <c:v>PFY Days</c:v>
                </c:pt>
                <c:pt idx="16">
                  <c:v>Flash Sale - W51</c:v>
                </c:pt>
                <c:pt idx="17">
                  <c:v>Flash Sale - W52</c:v>
                </c:pt>
                <c:pt idx="18">
                  <c:v>15€ off January bookings</c:v>
                </c:pt>
              </c:strCache>
            </c:strRef>
          </c:cat>
          <c:val>
            <c:numRef>
              <c:f>'TCD SbS CR'!$P$4:$P$23</c:f>
              <c:numCache>
                <c:formatCode>0.00%</c:formatCode>
                <c:ptCount val="19"/>
                <c:pt idx="0">
                  <c:v>1.95E-2</c:v>
                </c:pt>
                <c:pt idx="1">
                  <c:v>2.2666666666666668E-2</c:v>
                </c:pt>
                <c:pt idx="2">
                  <c:v>0.02</c:v>
                </c:pt>
                <c:pt idx="3">
                  <c:v>1.4E-2</c:v>
                </c:pt>
                <c:pt idx="4">
                  <c:v>2.7666666666666669E-2</c:v>
                </c:pt>
                <c:pt idx="5">
                  <c:v>5.6000000000000001E-2</c:v>
                </c:pt>
                <c:pt idx="6">
                  <c:v>1.2999999999999999E-2</c:v>
                </c:pt>
                <c:pt idx="7">
                  <c:v>0</c:v>
                </c:pt>
                <c:pt idx="8">
                  <c:v>8.9999999999999993E-3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5">
                  <c:v>1.6666666666666668E-3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32-48B4-A914-CA97B9E83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727423"/>
        <c:axId val="634724543"/>
      </c:lineChart>
      <c:catAx>
        <c:axId val="6347274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724543"/>
        <c:crosses val="autoZero"/>
        <c:auto val="1"/>
        <c:lblAlgn val="ctr"/>
        <c:lblOffset val="100"/>
        <c:noMultiLvlLbl val="0"/>
      </c:catAx>
      <c:valAx>
        <c:axId val="6347245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72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[HEATMAP DATA ANALYSIS V2.xlsx]TCD MONTHLY CR!Tableau croisé dynamique2</c:name>
    <c:fmtId val="1"/>
  </c:pivotSource>
  <c:chart>
    <c:autoTitleDeleted val="0"/>
    <c:pivotFmts>
      <c:pivotFmt>
        <c:idx val="0"/>
        <c:spPr>
          <a:noFill/>
          <a:ln w="22225" cap="rnd" cmpd="sng" algn="ctr">
            <a:solidFill>
              <a:srgbClr val="009900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6"/>
            </a:solidFill>
            <a:miter lim="800000"/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rgbClr val="009900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356719630180152E-2"/>
          <c:y val="0.13530909032666164"/>
          <c:w val="0.7143835946466065"/>
          <c:h val="0.58317735232560719"/>
        </c:manualLayout>
      </c:layout>
      <c:lineChart>
        <c:grouping val="standard"/>
        <c:varyColors val="0"/>
        <c:ser>
          <c:idx val="0"/>
          <c:order val="0"/>
          <c:tx>
            <c:strRef>
              <c:f>'TCD MONTHLY CR'!$B$3</c:f>
              <c:strCache>
                <c:ptCount val="1"/>
                <c:pt idx="0">
                  <c:v>Somme de TOTAL CLICKS</c:v>
                </c:pt>
              </c:strCache>
            </c:strRef>
          </c:tx>
          <c:spPr>
            <a:ln w="22225" cap="rnd">
              <a:solidFill>
                <a:srgbClr val="009900"/>
              </a:solidFill>
            </a:ln>
            <a:effectLst>
              <a:glow rad="139700">
                <a:schemeClr val="accent6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76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'TCD MONTHLY CR'!$A$4:$A$30</c:f>
              <c:multiLvlStrCache>
                <c:ptCount val="17"/>
                <c:lvl>
                  <c:pt idx="0">
                    <c:v>Launch</c:v>
                  </c:pt>
                  <c:pt idx="1">
                    <c:v>Repush</c:v>
                  </c:pt>
                  <c:pt idx="2">
                    <c:v>LastCall</c:v>
                  </c:pt>
                  <c:pt idx="3">
                    <c:v>Launch</c:v>
                  </c:pt>
                  <c:pt idx="4">
                    <c:v>Repush</c:v>
                  </c:pt>
                  <c:pt idx="5">
                    <c:v>LastCall</c:v>
                  </c:pt>
                  <c:pt idx="6">
                    <c:v>Launch</c:v>
                  </c:pt>
                  <c:pt idx="7">
                    <c:v>Repush</c:v>
                  </c:pt>
                  <c:pt idx="8">
                    <c:v>LastCall</c:v>
                  </c:pt>
                  <c:pt idx="9">
                    <c:v>Launch</c:v>
                  </c:pt>
                  <c:pt idx="10">
                    <c:v>Launch</c:v>
                  </c:pt>
                  <c:pt idx="11">
                    <c:v>Launch</c:v>
                  </c:pt>
                  <c:pt idx="12">
                    <c:v>Repush</c:v>
                  </c:pt>
                  <c:pt idx="13">
                    <c:v>Initial</c:v>
                  </c:pt>
                  <c:pt idx="14">
                    <c:v>Launch</c:v>
                  </c:pt>
                  <c:pt idx="15">
                    <c:v>Launch</c:v>
                  </c:pt>
                  <c:pt idx="16">
                    <c:v>Repush</c:v>
                  </c:pt>
                </c:lvl>
                <c:lvl>
                  <c:pt idx="0">
                    <c:v>D2Bq3</c:v>
                  </c:pt>
                  <c:pt idx="3">
                    <c:v>D2Bq3Dormant</c:v>
                  </c:pt>
                  <c:pt idx="6">
                    <c:v>D2Bq3Inactive</c:v>
                  </c:pt>
                  <c:pt idx="9">
                    <c:v>Lastminute</c:v>
                  </c:pt>
                  <c:pt idx="10">
                    <c:v>Bundlesandprotections</c:v>
                  </c:pt>
                  <c:pt idx="11">
                    <c:v>Globalcampaignaugust</c:v>
                  </c:pt>
                  <c:pt idx="13">
                    <c:v>Premiumfleet</c:v>
                  </c:pt>
                  <c:pt idx="14">
                    <c:v>Foryoudays</c:v>
                  </c:pt>
                  <c:pt idx="15">
                    <c:v>Flashsaleseptember</c:v>
                  </c:pt>
                </c:lvl>
              </c:multiLvlStrCache>
            </c:multiLvlStrRef>
          </c:cat>
          <c:val>
            <c:numRef>
              <c:f>'TCD MONTHLY CR'!$B$4:$B$30</c:f>
              <c:numCache>
                <c:formatCode>#,##0</c:formatCode>
                <c:ptCount val="17"/>
                <c:pt idx="0">
                  <c:v>2068</c:v>
                </c:pt>
                <c:pt idx="1">
                  <c:v>404</c:v>
                </c:pt>
                <c:pt idx="2">
                  <c:v>1881</c:v>
                </c:pt>
                <c:pt idx="3">
                  <c:v>934</c:v>
                </c:pt>
                <c:pt idx="4">
                  <c:v>492</c:v>
                </c:pt>
                <c:pt idx="5">
                  <c:v>267</c:v>
                </c:pt>
                <c:pt idx="6">
                  <c:v>175</c:v>
                </c:pt>
                <c:pt idx="7">
                  <c:v>76</c:v>
                </c:pt>
                <c:pt idx="8">
                  <c:v>7</c:v>
                </c:pt>
                <c:pt idx="9">
                  <c:v>2883</c:v>
                </c:pt>
                <c:pt idx="10">
                  <c:v>2036</c:v>
                </c:pt>
                <c:pt idx="11">
                  <c:v>2399</c:v>
                </c:pt>
                <c:pt idx="12">
                  <c:v>2373</c:v>
                </c:pt>
                <c:pt idx="13">
                  <c:v>274</c:v>
                </c:pt>
                <c:pt idx="14">
                  <c:v>2702</c:v>
                </c:pt>
                <c:pt idx="15">
                  <c:v>3360</c:v>
                </c:pt>
                <c:pt idx="16">
                  <c:v>3364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3-4160-A979-C55C44BDF03D}"/>
            </c:ext>
          </c:extLst>
        </c:ser>
        <c:ser>
          <c:idx val="1"/>
          <c:order val="1"/>
          <c:tx>
            <c:strRef>
              <c:f>'TCD MONTHLY CR'!$C$3</c:f>
              <c:strCache>
                <c:ptCount val="1"/>
                <c:pt idx="0">
                  <c:v>Somme de UNIQUE CLICKS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</a:ln>
            <a:effectLst>
              <a:glow rad="139700">
                <a:schemeClr val="accent6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77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'TCD MONTHLY CR'!$A$4:$A$30</c:f>
              <c:multiLvlStrCache>
                <c:ptCount val="17"/>
                <c:lvl>
                  <c:pt idx="0">
                    <c:v>Launch</c:v>
                  </c:pt>
                  <c:pt idx="1">
                    <c:v>Repush</c:v>
                  </c:pt>
                  <c:pt idx="2">
                    <c:v>LastCall</c:v>
                  </c:pt>
                  <c:pt idx="3">
                    <c:v>Launch</c:v>
                  </c:pt>
                  <c:pt idx="4">
                    <c:v>Repush</c:v>
                  </c:pt>
                  <c:pt idx="5">
                    <c:v>LastCall</c:v>
                  </c:pt>
                  <c:pt idx="6">
                    <c:v>Launch</c:v>
                  </c:pt>
                  <c:pt idx="7">
                    <c:v>Repush</c:v>
                  </c:pt>
                  <c:pt idx="8">
                    <c:v>LastCall</c:v>
                  </c:pt>
                  <c:pt idx="9">
                    <c:v>Launch</c:v>
                  </c:pt>
                  <c:pt idx="10">
                    <c:v>Launch</c:v>
                  </c:pt>
                  <c:pt idx="11">
                    <c:v>Launch</c:v>
                  </c:pt>
                  <c:pt idx="12">
                    <c:v>Repush</c:v>
                  </c:pt>
                  <c:pt idx="13">
                    <c:v>Initial</c:v>
                  </c:pt>
                  <c:pt idx="14">
                    <c:v>Launch</c:v>
                  </c:pt>
                  <c:pt idx="15">
                    <c:v>Launch</c:v>
                  </c:pt>
                  <c:pt idx="16">
                    <c:v>Repush</c:v>
                  </c:pt>
                </c:lvl>
                <c:lvl>
                  <c:pt idx="0">
                    <c:v>D2Bq3</c:v>
                  </c:pt>
                  <c:pt idx="3">
                    <c:v>D2Bq3Dormant</c:v>
                  </c:pt>
                  <c:pt idx="6">
                    <c:v>D2Bq3Inactive</c:v>
                  </c:pt>
                  <c:pt idx="9">
                    <c:v>Lastminute</c:v>
                  </c:pt>
                  <c:pt idx="10">
                    <c:v>Bundlesandprotections</c:v>
                  </c:pt>
                  <c:pt idx="11">
                    <c:v>Globalcampaignaugust</c:v>
                  </c:pt>
                  <c:pt idx="13">
                    <c:v>Premiumfleet</c:v>
                  </c:pt>
                  <c:pt idx="14">
                    <c:v>Foryoudays</c:v>
                  </c:pt>
                  <c:pt idx="15">
                    <c:v>Flashsaleseptember</c:v>
                  </c:pt>
                </c:lvl>
              </c:multiLvlStrCache>
            </c:multiLvlStrRef>
          </c:cat>
          <c:val>
            <c:numRef>
              <c:f>'TCD MONTHLY CR'!$C$4:$C$30</c:f>
              <c:numCache>
                <c:formatCode>#,##0</c:formatCode>
                <c:ptCount val="17"/>
                <c:pt idx="0">
                  <c:v>771</c:v>
                </c:pt>
                <c:pt idx="1">
                  <c:v>294</c:v>
                </c:pt>
                <c:pt idx="2">
                  <c:v>613</c:v>
                </c:pt>
                <c:pt idx="3">
                  <c:v>412</c:v>
                </c:pt>
                <c:pt idx="4">
                  <c:v>266</c:v>
                </c:pt>
                <c:pt idx="5">
                  <c:v>152</c:v>
                </c:pt>
                <c:pt idx="6">
                  <c:v>91</c:v>
                </c:pt>
                <c:pt idx="7">
                  <c:v>266</c:v>
                </c:pt>
                <c:pt idx="8">
                  <c:v>3</c:v>
                </c:pt>
                <c:pt idx="9">
                  <c:v>1152</c:v>
                </c:pt>
                <c:pt idx="10">
                  <c:v>631</c:v>
                </c:pt>
                <c:pt idx="11">
                  <c:v>811</c:v>
                </c:pt>
                <c:pt idx="12">
                  <c:v>711</c:v>
                </c:pt>
                <c:pt idx="13">
                  <c:v>103</c:v>
                </c:pt>
                <c:pt idx="14">
                  <c:v>855</c:v>
                </c:pt>
                <c:pt idx="15">
                  <c:v>1102</c:v>
                </c:pt>
                <c:pt idx="16">
                  <c:v>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3-4160-A979-C55C44BDF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012031"/>
        <c:axId val="1777009631"/>
      </c:lineChart>
      <c:catAx>
        <c:axId val="177701203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009631"/>
        <c:crosses val="autoZero"/>
        <c:auto val="1"/>
        <c:lblAlgn val="ctr"/>
        <c:lblOffset val="100"/>
        <c:noMultiLvlLbl val="0"/>
      </c:catAx>
      <c:valAx>
        <c:axId val="1777009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[HEATMAP DATA ANALYSIS V2.xlsx]TCD MONTHLY CR!Tableau croisé dynamique3</c:name>
    <c:fmtId val="1"/>
  </c:pivotSource>
  <c:chart>
    <c:autoTitleDeleted val="0"/>
    <c:pivotFmts>
      <c:pivotFmt>
        <c:idx val="0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shade val="76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hade val="76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6"/>
            </a:solidFill>
          </a:ln>
          <a:effectLst>
            <a:glow rad="139700">
              <a:schemeClr val="accent6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tint val="77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tint val="77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'TCD MONTHLY CR'!$P$3</c:f>
              <c:strCache>
                <c:ptCount val="1"/>
                <c:pt idx="0">
                  <c:v>Somme de TOTAL CLICKS</c:v>
                </c:pt>
              </c:strCache>
            </c:strRef>
          </c:tx>
          <c:spPr>
            <a:ln w="22225" cap="rnd">
              <a:solidFill>
                <a:schemeClr val="accent6">
                  <a:shade val="76000"/>
                </a:schemeClr>
              </a:solidFill>
            </a:ln>
            <a:effectLst>
              <a:glow rad="139700">
                <a:schemeClr val="accent6">
                  <a:shade val="76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shade val="76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hade val="76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MONTHLY CR'!$O$4:$O$8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'TCD MONTHLY CR'!$P$4:$P$8</c:f>
              <c:numCache>
                <c:formatCode>#,##0</c:formatCode>
                <c:ptCount val="4"/>
                <c:pt idx="0">
                  <c:v>2837</c:v>
                </c:pt>
                <c:pt idx="1">
                  <c:v>11223</c:v>
                </c:pt>
                <c:pt idx="2">
                  <c:v>5046</c:v>
                </c:pt>
                <c:pt idx="3">
                  <c:v>9426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FA-47F0-BEC2-A1F6F6C65A21}"/>
            </c:ext>
          </c:extLst>
        </c:ser>
        <c:ser>
          <c:idx val="1"/>
          <c:order val="1"/>
          <c:tx>
            <c:strRef>
              <c:f>'TCD MONTHLY CR'!$Q$3</c:f>
              <c:strCache>
                <c:ptCount val="1"/>
                <c:pt idx="0">
                  <c:v>Somme de UNIQUE CLICKS</c:v>
                </c:pt>
              </c:strCache>
            </c:strRef>
          </c:tx>
          <c:spPr>
            <a:ln w="22225" cap="rnd">
              <a:solidFill>
                <a:schemeClr val="accent6">
                  <a:tint val="77000"/>
                </a:schemeClr>
              </a:solidFill>
            </a:ln>
            <a:effectLst>
              <a:glow rad="139700">
                <a:schemeClr val="accent6">
                  <a:tint val="77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tint val="77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tint val="77000"/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'TCD MONTHLY CR'!$O$4:$O$8</c:f>
              <c:strCache>
                <c:ptCount val="4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</c:strCache>
            </c:strRef>
          </c:cat>
          <c:val>
            <c:numRef>
              <c:f>'TCD MONTHLY CR'!$Q$4:$Q$8</c:f>
              <c:numCache>
                <c:formatCode>#,##0</c:formatCode>
                <c:ptCount val="4"/>
                <c:pt idx="0">
                  <c:v>1139</c:v>
                </c:pt>
                <c:pt idx="1">
                  <c:v>4651</c:v>
                </c:pt>
                <c:pt idx="2">
                  <c:v>1625</c:v>
                </c:pt>
                <c:pt idx="3">
                  <c:v>3015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FA-47F0-BEC2-A1F6F6C65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4730783"/>
        <c:axId val="1636411967"/>
      </c:lineChart>
      <c:catAx>
        <c:axId val="6347307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6411967"/>
        <c:crosses val="autoZero"/>
        <c:auto val="1"/>
        <c:lblAlgn val="ctr"/>
        <c:lblOffset val="100"/>
        <c:noMultiLvlLbl val="0"/>
      </c:catAx>
      <c:valAx>
        <c:axId val="16364119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473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182562</xdr:colOff>
      <xdr:row>1</xdr:row>
      <xdr:rowOff>84137</xdr:rowOff>
    </xdr:from>
    <xdr:to>
      <xdr:col>11</xdr:col>
      <xdr:colOff>539750</xdr:colOff>
      <xdr:row>27</xdr:row>
      <xdr:rowOff>15875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38EA69-4E19-F4C3-D1B3-05DA052657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301625</xdr:colOff>
      <xdr:row>3</xdr:row>
      <xdr:rowOff>150812</xdr:rowOff>
    </xdr:from>
    <xdr:to>
      <xdr:col>25</xdr:col>
      <xdr:colOff>542925</xdr:colOff>
      <xdr:row>27</xdr:row>
      <xdr:rowOff>57150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8EF7B74-902B-D0E4-7F9F-1E98C151C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249237</xdr:colOff>
      <xdr:row>1</xdr:row>
      <xdr:rowOff>77787</xdr:rowOff>
    </xdr:from>
    <xdr:to>
      <xdr:col>13</xdr:col>
      <xdr:colOff>666750</xdr:colOff>
      <xdr:row>26</xdr:row>
      <xdr:rowOff>111125</xdr:rowOff>
    </xdr:to>
    <xdr:graphicFrame macro="">
      <xdr:nvGraphicFramePr>
        <xdr:cNvPr id="12" name="Graphique 1">
          <a:extLst>
            <a:ext uri="{FF2B5EF4-FFF2-40B4-BE49-F238E27FC236}">
              <a16:creationId xmlns:a16="http://schemas.microsoft.com/office/drawing/2014/main" id="{7662E76E-5F35-54B8-33E5-C729340753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25400</xdr:colOff>
      <xdr:row>0</xdr:row>
      <xdr:rowOff>112712</xdr:rowOff>
    </xdr:from>
    <xdr:to>
      <xdr:col>25</xdr:col>
      <xdr:colOff>247650</xdr:colOff>
      <xdr:row>27</xdr:row>
      <xdr:rowOff>142875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DC28D20-86C4-BD94-004D-BC1E93002B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Béla" refreshedDate="46006.62240763889" createdVersion="8" refreshedVersion="8" minRefreshableVersion="3" recordCount="21" xr:uid="{8713FE9E-9637-4581-B1C5-AD20239F2784}">
  <cacheSource type="worksheet">
    <worksheetSource name="Tableau3"/>
  </cacheSource>
  <cacheFields count="17">
    <cacheField name="DATE" numFmtId="14">
      <sharedItems containsSemiMixedTypes="0" containsNonDate="0" containsDate="1" containsString="0" minDate="2025-06-05T00:00:00" maxDate="2025-09-15T00:00:00" count="12">
        <d v="2025-06-05T00:00:00"/>
        <d v="2025-07-03T00:00:00"/>
        <d v="2025-07-08T00:00:00"/>
        <d v="2025-07-12T00:00:00"/>
        <d v="2025-07-18T00:00:00"/>
        <d v="2025-07-29T00:00:00"/>
        <d v="2025-08-06T00:00:00"/>
        <d v="2025-08-14T00:00:00"/>
        <d v="2025-08-25T00:00:00"/>
        <d v="2025-09-05T00:00:00"/>
        <d v="2025-09-11T00:00:00"/>
        <d v="2025-09-14T00:00:00"/>
      </sharedItems>
      <fieldGroup par="16"/>
    </cacheField>
    <cacheField name="NAME CAMPAIGN" numFmtId="0">
      <sharedItems count="10">
        <s v="Summeranticipation"/>
        <s v="D2Bq3"/>
        <s v="D2Bq3Dormant"/>
        <s v="D2Bq3Inactive"/>
        <s v="Lastminute"/>
        <s v="Bundlesandprotections"/>
        <s v="Globalcampaignaugust"/>
        <s v="Premiumfleet"/>
        <s v="Foryoudays"/>
        <s v="Flashsaleseptember"/>
      </sharedItems>
    </cacheField>
    <cacheField name="ACTION" numFmtId="0">
      <sharedItems count="4">
        <s v="LastCall"/>
        <s v="Launch"/>
        <s v="Repush"/>
        <s v="Initial"/>
      </sharedItems>
    </cacheField>
    <cacheField name="N° MONTH" numFmtId="0">
      <sharedItems containsSemiMixedTypes="0" containsString="0" containsNumber="1" containsInteger="1" minValue="6" maxValue="9" count="4">
        <n v="6"/>
        <n v="7"/>
        <n v="8"/>
        <n v="9"/>
      </sharedItems>
    </cacheField>
    <cacheField name="MONTH" numFmtId="14">
      <sharedItems count="4">
        <s v="June"/>
        <s v="July"/>
        <s v="August"/>
        <s v="September"/>
      </sharedItems>
    </cacheField>
    <cacheField name="SECTION NAME" numFmtId="0">
      <sharedItems/>
    </cacheField>
    <cacheField name="POSITION (TOP/MIDDLE/BOTTOM)" numFmtId="0">
      <sharedItems/>
    </cacheField>
    <cacheField name="IMAGE CLICK RATE" numFmtId="10">
      <sharedItems containsMixedTypes="1" containsNumber="1" minValue="2.5999999999999999E-2" maxValue="0.20799999999999999"/>
    </cacheField>
    <cacheField name="CTA CLICK RATE" numFmtId="10">
      <sharedItems containsMixedTypes="1" containsNumber="1" minValue="0.14299999999999999" maxValue="0.67100000000000004"/>
    </cacheField>
    <cacheField name="SECTION NAME2" numFmtId="10">
      <sharedItems/>
    </cacheField>
    <cacheField name="POSITION (TOP/MIDDLE/BOTTOM)3" numFmtId="10">
      <sharedItems/>
    </cacheField>
    <cacheField name="IMAGE CLICK RATE4" numFmtId="10">
      <sharedItems containsMixedTypes="1" containsNumber="1" minValue="0" maxValue="1.7000000000000001E-2"/>
    </cacheField>
    <cacheField name="CTA CLICK RATE5" numFmtId="10">
      <sharedItems containsMixedTypes="1" containsNumber="1" minValue="0" maxValue="5.6000000000000001E-2"/>
    </cacheField>
    <cacheField name="TOTAL CLICKS" numFmtId="3">
      <sharedItems containsSemiMixedTypes="0" containsString="0" containsNumber="1" containsInteger="1" minValue="7" maxValue="2883"/>
    </cacheField>
    <cacheField name="UNIQUE CLICKS" numFmtId="3">
      <sharedItems containsSemiMixedTypes="0" containsString="0" containsNumber="1" containsInteger="1" minValue="3" maxValue="1152"/>
    </cacheField>
    <cacheField name="Jours (DATE)" numFmtId="0" databaseField="0">
      <fieldGroup base="0">
        <rangePr groupBy="days" startDate="2025-06-05T00:00:00" endDate="2025-09-15T00:00:00"/>
        <groupItems count="368">
          <s v="&lt;05/06/2025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15/09/2025"/>
        </groupItems>
      </fieldGroup>
    </cacheField>
    <cacheField name="Mois (DATE)" numFmtId="0" databaseField="0">
      <fieldGroup base="0">
        <rangePr groupBy="months" startDate="2025-06-05T00:00:00" endDate="2025-09-15T00:00:00"/>
        <groupItems count="14">
          <s v="&lt;05/06/2025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15/09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éla" refreshedDate="46037.694000462965" createdVersion="8" refreshedVersion="8" minRefreshableVersion="3" recordCount="17" xr:uid="{A23D79A5-3ACA-4755-BB3F-8C9A948DBEC5}">
  <cacheSource type="worksheet">
    <worksheetSource ref="C1:L18" sheet="GLOBAL KPIs"/>
  </cacheSource>
  <cacheFields count="10">
    <cacheField name="CAMPAIGN NAME" numFmtId="0">
      <sharedItems count="16">
        <s v="Summer Anticipation"/>
        <s v="D2B Q3"/>
        <s v="Last Minute"/>
        <s v="Bundles and protections"/>
        <s v="Global Campaign August"/>
        <s v="Premium fleet"/>
        <s v="For you days"/>
        <s v="Summeranticipation" u="1"/>
        <s v="D2Bq3" u="1"/>
        <s v="D2Bq3Dormant" u="1"/>
        <s v="D2Bq3Inactive" u="1"/>
        <s v="Lastminute" u="1"/>
        <s v="Bundlesandprotections" u="1"/>
        <s v="Globalcampaignaugust" u="1"/>
        <s v="Premiumfleet" u="1"/>
        <s v="Foryoudays" u="1"/>
      </sharedItems>
    </cacheField>
    <cacheField name="ACTION" numFmtId="0">
      <sharedItems count="4">
        <s v="Lastcall"/>
        <s v="Launch"/>
        <s v="Repush"/>
        <s v="Initial" u="1"/>
      </sharedItems>
    </cacheField>
    <cacheField name="SEGMENT" numFmtId="0">
      <sharedItems/>
    </cacheField>
    <cacheField name="AUDIENCE SEGMENT" numFmtId="0">
      <sharedItems/>
    </cacheField>
    <cacheField name="TRACKING" numFmtId="0">
      <sharedItems/>
    </cacheField>
    <cacheField name="DELIVERIES" numFmtId="0">
      <sharedItems containsNonDate="0" containsString="0" containsBlank="1"/>
    </cacheField>
    <cacheField name="OPEN RATE" numFmtId="9">
      <sharedItems/>
    </cacheField>
    <cacheField name="CTR" numFmtId="10">
      <sharedItems containsNonDate="0" containsString="0" containsBlank="1"/>
    </cacheField>
    <cacheField name="TOTAL CLICK" numFmtId="0">
      <sharedItems containsSemiMixedTypes="0" containsString="0" containsNumber="1" containsInteger="1" minValue="7" maxValue="2883"/>
    </cacheField>
    <cacheField name="UNIQUE CLICK" numFmtId="0">
      <sharedItems containsSemiMixedTypes="0" containsString="0" containsNumber="1" containsInteger="1" minValue="3" maxValue="1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éla" refreshedDate="46037.694000694442" createdVersion="8" refreshedVersion="8" minRefreshableVersion="3" recordCount="17" xr:uid="{3478306B-4B3F-43A8-891D-E3855440E537}">
  <cacheSource type="worksheet">
    <worksheetSource ref="C6:P23" sheet="Sheet4"/>
  </cacheSource>
  <cacheFields count="14">
    <cacheField name="DATE" numFmtId="14">
      <sharedItems containsSemiMixedTypes="0" containsNonDate="0" containsDate="1" containsString="0" minDate="2025-06-05T00:00:00" maxDate="2025-09-06T00:00:00"/>
    </cacheField>
    <cacheField name="NAME CAMPAIGN" numFmtId="0">
      <sharedItems/>
    </cacheField>
    <cacheField name="N° MONTH" numFmtId="0">
      <sharedItems containsSemiMixedTypes="0" containsString="0" containsNumber="1" containsInteger="1" minValue="6" maxValue="9" count="4">
        <n v="6"/>
        <n v="7"/>
        <n v="8"/>
        <n v="9"/>
      </sharedItems>
    </cacheField>
    <cacheField name="MONTH" numFmtId="14">
      <sharedItems count="4">
        <s v="June"/>
        <s v="July"/>
        <s v="August"/>
        <s v="September"/>
      </sharedItems>
    </cacheField>
    <cacheField name="SECTION NAME" numFmtId="0">
      <sharedItems/>
    </cacheField>
    <cacheField name="POSITION (TOP/MIDDLE/BOTTOM)" numFmtId="0">
      <sharedItems/>
    </cacheField>
    <cacheField name="IMAGE CLICK RATE" numFmtId="10">
      <sharedItems containsMixedTypes="1" containsNumber="1" minValue="2.5999999999999999E-2" maxValue="0.14299999999999999"/>
    </cacheField>
    <cacheField name="CTA CLICK RATE" numFmtId="10">
      <sharedItems containsSemiMixedTypes="0" containsString="0" containsNumber="1" minValue="0.14299999999999999" maxValue="0.52900000000000003"/>
    </cacheField>
    <cacheField name="SECTION NAME2" numFmtId="10">
      <sharedItems/>
    </cacheField>
    <cacheField name="POSITION (TOP/MIDDLE/BOTTOM)2" numFmtId="10">
      <sharedItems/>
    </cacheField>
    <cacheField name="IMAGE CLICK RATE2" numFmtId="10">
      <sharedItems containsMixedTypes="1" containsNumber="1" minValue="0" maxValue="1.7000000000000001E-2"/>
    </cacheField>
    <cacheField name="CTA CLICK RATE2" numFmtId="10">
      <sharedItems containsMixedTypes="1" containsNumber="1" minValue="0" maxValue="5.6000000000000001E-2"/>
    </cacheField>
    <cacheField name="TOTAL CLICKS" numFmtId="0">
      <sharedItems containsSemiMixedTypes="0" containsString="0" containsNumber="1" containsInteger="1" minValue="7" maxValue="2883"/>
    </cacheField>
    <cacheField name="UNIQUE CLICKS" numFmtId="0">
      <sharedItems containsSemiMixedTypes="0" containsString="0" containsNumber="1" containsInteger="1" minValue="3" maxValue="11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éla" refreshedDate="46037.694000810188" createdVersion="8" refreshedVersion="8" minRefreshableVersion="3" recordCount="84" xr:uid="{43F01995-41A7-4AB3-8E3D-AEA3996CD02C}">
  <cacheSource type="worksheet">
    <worksheetSource name="Tableau4"/>
  </cacheSource>
  <cacheFields count="12">
    <cacheField name="CAMPAIGN NAME" numFmtId="0">
      <sharedItems count="20">
        <s v="Summeranticipation"/>
        <s v="D2Bq3"/>
        <s v="D2Bq3Dormant"/>
        <s v="D2Bq3Inactive"/>
        <s v="Bundlesandprotections"/>
        <s v="Globalcampaignaugust"/>
        <s v="Premiumfleet"/>
        <s v="Foryoudays"/>
        <s v="Flashsaleseptember"/>
        <s v="D2B Autumn vacation"/>
        <s v="EV Fleet Awarness"/>
        <s v="Tier-matching"/>
        <s v="DTB Q4"/>
        <s v="Re-optin"/>
        <s v="Black Friday to Cyber Monday"/>
        <s v="PFY Days"/>
        <s v="Flash Sale - W51"/>
        <s v="Flash Sale - W52"/>
        <s v="15€ off January bookings"/>
        <s v="Lastminute" u="1"/>
      </sharedItems>
    </cacheField>
    <cacheField name="TRACKING" numFmtId="0">
      <sharedItems/>
    </cacheField>
    <cacheField name="Audience" numFmtId="0">
      <sharedItems/>
    </cacheField>
    <cacheField name="Template" numFmtId="0">
      <sharedItems containsNonDate="0" containsString="0" containsBlank="1"/>
    </cacheField>
    <cacheField name="SECTION NAME" numFmtId="0">
      <sharedItems/>
    </cacheField>
    <cacheField name="POSITION " numFmtId="0">
      <sharedItems/>
    </cacheField>
    <cacheField name="IMAGE CLICK RATE" numFmtId="10">
      <sharedItems containsBlank="1" containsMixedTypes="1" containsNumber="1" minValue="2.5999999999999999E-2" maxValue="0.20799999999999999"/>
    </cacheField>
    <cacheField name="CTA CLICK RATE" numFmtId="10">
      <sharedItems containsBlank="1" containsMixedTypes="1" containsNumber="1" minValue="0.14299999999999999" maxValue="0.8"/>
    </cacheField>
    <cacheField name="SECTION NAME2" numFmtId="0">
      <sharedItems containsBlank="1"/>
    </cacheField>
    <cacheField name="POSITION 2" numFmtId="0">
      <sharedItems containsBlank="1"/>
    </cacheField>
    <cacheField name="IMAGE CLICK RATE4" numFmtId="10">
      <sharedItems containsBlank="1" containsMixedTypes="1" containsNumber="1" minValue="0" maxValue="0.02"/>
    </cacheField>
    <cacheField name="CTA CLICK RATE5" numFmtId="10">
      <sharedItems containsBlank="1" containsMixedTypes="1" containsNumber="1" minValue="0" maxValue="5.600000000000000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x v="0"/>
    <x v="0"/>
    <x v="0"/>
    <s v="Main banner"/>
    <s v="Top"/>
    <n v="7.2999999999999995E-2"/>
    <n v="0.42099999999999999"/>
    <s v="Podcast"/>
    <s v="Bottom"/>
    <n v="8.9999999999999993E-3"/>
    <n v="8.9999999999999993E-3"/>
    <n v="2837"/>
    <n v="1139"/>
  </r>
  <r>
    <x v="1"/>
    <x v="1"/>
    <x v="1"/>
    <x v="1"/>
    <x v="1"/>
    <s v="Main banner"/>
    <s v="Top"/>
    <n v="5.8999999999999997E-2"/>
    <n v="0.26800000000000002"/>
    <s v="My EC banner"/>
    <s v="Bottom"/>
    <s v="/"/>
    <n v="2.4E-2"/>
    <n v="2068"/>
    <n v="771"/>
  </r>
  <r>
    <x v="1"/>
    <x v="2"/>
    <x v="1"/>
    <x v="1"/>
    <x v="1"/>
    <s v="Main banner"/>
    <s v="Top"/>
    <n v="6.4000000000000001E-2"/>
    <n v="0.29399999999999998"/>
    <s v="My EC banner"/>
    <s v="Bottom"/>
    <s v="/"/>
    <n v="3.2000000000000001E-2"/>
    <n v="934"/>
    <n v="412"/>
  </r>
  <r>
    <x v="1"/>
    <x v="3"/>
    <x v="1"/>
    <x v="1"/>
    <x v="1"/>
    <s v="Main banner"/>
    <s v="Top"/>
    <n v="5.7000000000000002E-2"/>
    <n v="0.32"/>
    <s v="Visual left"/>
    <s v="Middle"/>
    <n v="0"/>
    <n v="2.9000000000000001E-2"/>
    <n v="175"/>
    <n v="91"/>
  </r>
  <r>
    <x v="2"/>
    <x v="1"/>
    <x v="2"/>
    <x v="1"/>
    <x v="1"/>
    <s v="Main banner"/>
    <s v="Top"/>
    <n v="8.3000000000000004E-2"/>
    <n v="0.438"/>
    <s v="My EC banner"/>
    <s v="Bottom"/>
    <s v="/"/>
    <n v="0.02"/>
    <n v="404"/>
    <n v="294"/>
  </r>
  <r>
    <x v="2"/>
    <x v="2"/>
    <x v="2"/>
    <x v="1"/>
    <x v="1"/>
    <s v="Main banner"/>
    <s v="Top"/>
    <n v="6.4000000000000001E-2"/>
    <n v="0.52900000000000003"/>
    <s v="Visual left"/>
    <s v="Middle"/>
    <n v="1.0999999999999999E-2"/>
    <n v="1.0999999999999999E-2"/>
    <n v="492"/>
    <n v="266"/>
  </r>
  <r>
    <x v="2"/>
    <x v="3"/>
    <x v="2"/>
    <x v="1"/>
    <x v="1"/>
    <s v="Main banner"/>
    <s v="Top"/>
    <n v="6.7000000000000004E-2"/>
    <n v="0.41299999999999998"/>
    <s v="Visual left"/>
    <s v="Middle"/>
    <n v="0"/>
    <n v="1.2999999999999999E-2"/>
    <n v="76"/>
    <n v="266"/>
  </r>
  <r>
    <x v="3"/>
    <x v="1"/>
    <x v="0"/>
    <x v="1"/>
    <x v="1"/>
    <s v="Main banner"/>
    <s v="Top"/>
    <n v="6.7000000000000004E-2"/>
    <n v="0.27900000000000003"/>
    <s v="My EC banner"/>
    <s v="Bottom"/>
    <s v="/"/>
    <n v="2.4E-2"/>
    <n v="1881"/>
    <n v="613"/>
  </r>
  <r>
    <x v="3"/>
    <x v="2"/>
    <x v="0"/>
    <x v="1"/>
    <x v="1"/>
    <s v="Main banner"/>
    <s v="Top"/>
    <n v="9.8000000000000004E-2"/>
    <n v="0.44700000000000001"/>
    <s v="Visual left"/>
    <s v="Middle"/>
    <n v="0"/>
    <n v="1.7000000000000001E-2"/>
    <n v="267"/>
    <n v="152"/>
  </r>
  <r>
    <x v="3"/>
    <x v="3"/>
    <x v="0"/>
    <x v="1"/>
    <x v="1"/>
    <s v="Main banner"/>
    <s v="Top"/>
    <n v="0.14299999999999999"/>
    <n v="0.14299999999999999"/>
    <s v="My EC banner + Visual left"/>
    <s v="Middle &amp; Bottom"/>
    <n v="0"/>
    <n v="0"/>
    <n v="7"/>
    <n v="3"/>
  </r>
  <r>
    <x v="4"/>
    <x v="4"/>
    <x v="1"/>
    <x v="1"/>
    <x v="1"/>
    <s v="Main banner"/>
    <s v="Top"/>
    <n v="3.3000000000000002E-2"/>
    <n v="0.39600000000000002"/>
    <s v="/"/>
    <s v="/"/>
    <s v="/"/>
    <n v="2.1999999999999999E-2"/>
    <n v="2883"/>
    <n v="1152"/>
  </r>
  <r>
    <x v="5"/>
    <x v="5"/>
    <x v="1"/>
    <x v="1"/>
    <x v="1"/>
    <s v="Header"/>
    <s v="Top"/>
    <s v="/"/>
    <n v="0.20899999999999999"/>
    <s v="My EC banner"/>
    <s v="Bottom"/>
    <n v="1.7000000000000001E-2"/>
    <n v="1.7000000000000001E-2"/>
    <n v="2036"/>
    <n v="631"/>
  </r>
  <r>
    <x v="6"/>
    <x v="6"/>
    <x v="1"/>
    <x v="2"/>
    <x v="2"/>
    <s v="Main banner"/>
    <s v="Top"/>
    <n v="4.4999999999999998E-2"/>
    <n v="0.29199999999999998"/>
    <s v="My EC banner"/>
    <s v="Bottom"/>
    <s v="/"/>
    <n v="1.0999999999999999E-2"/>
    <n v="2399"/>
    <n v="811"/>
  </r>
  <r>
    <x v="7"/>
    <x v="6"/>
    <x v="2"/>
    <x v="2"/>
    <x v="2"/>
    <s v="Main banner"/>
    <s v="Top"/>
    <n v="5.8000000000000003E-2"/>
    <n v="0.25800000000000001"/>
    <s v="My EC banner"/>
    <s v="Bottom"/>
    <s v="/"/>
    <n v="1.4999999999999999E-2"/>
    <n v="2373"/>
    <n v="711"/>
  </r>
  <r>
    <x v="8"/>
    <x v="7"/>
    <x v="3"/>
    <x v="2"/>
    <x v="2"/>
    <s v="Main banner"/>
    <s v="Top"/>
    <n v="6.6000000000000003E-2"/>
    <n v="0.40500000000000003"/>
    <s v="/"/>
    <s v="/"/>
    <s v="/"/>
    <s v="/"/>
    <n v="274"/>
    <n v="103"/>
  </r>
  <r>
    <x v="9"/>
    <x v="8"/>
    <x v="1"/>
    <x v="3"/>
    <x v="3"/>
    <s v="Main banner"/>
    <s v="Top"/>
    <n v="2.5999999999999999E-2"/>
    <n v="0.219"/>
    <s v="My EC banner"/>
    <s v="Bottom"/>
    <s v="/"/>
    <n v="5.6000000000000001E-2"/>
    <n v="2292"/>
    <n v="639"/>
  </r>
  <r>
    <x v="9"/>
    <x v="8"/>
    <x v="1"/>
    <x v="3"/>
    <x v="3"/>
    <s v="Main banner"/>
    <s v="Top"/>
    <n v="6.6000000000000003E-2"/>
    <n v="0.436"/>
    <s v="/"/>
    <s v="/"/>
    <s v="/"/>
    <s v="/"/>
    <n v="410"/>
    <n v="216"/>
  </r>
  <r>
    <x v="10"/>
    <x v="9"/>
    <x v="1"/>
    <x v="3"/>
    <x v="3"/>
    <s v="Main banner"/>
    <s v="Top"/>
    <n v="0.20799999999999999"/>
    <n v="0.186"/>
    <s v="My EC banner"/>
    <s v="Bottom"/>
    <s v="/"/>
    <n v="2.8000000000000001E-2"/>
    <n v="2752"/>
    <n v="779"/>
  </r>
  <r>
    <x v="10"/>
    <x v="9"/>
    <x v="1"/>
    <x v="3"/>
    <x v="3"/>
    <s v="Main banner"/>
    <s v="Top"/>
    <n v="2.8000000000000001E-2"/>
    <n v="0.67100000000000004"/>
    <s v="App Banner"/>
    <s v="Bottom"/>
    <s v="/"/>
    <n v="5.0000000000000001E-3"/>
    <n v="608"/>
    <n v="323"/>
  </r>
  <r>
    <x v="11"/>
    <x v="9"/>
    <x v="2"/>
    <x v="3"/>
    <x v="3"/>
    <s v="Main banner"/>
    <s v="Top"/>
    <s v="7.4%"/>
    <s v="14.9%"/>
    <s v="Visual left"/>
    <s v="Middle"/>
    <s v="2.1%"/>
    <n v="0.05"/>
    <n v="2791"/>
    <n v="736"/>
  </r>
  <r>
    <x v="11"/>
    <x v="9"/>
    <x v="2"/>
    <x v="3"/>
    <x v="3"/>
    <s v="Main banner"/>
    <s v="Top"/>
    <s v="3.7%"/>
    <s v="66.5%"/>
    <s v="Grey banner"/>
    <s v="Bottom"/>
    <s v="/"/>
    <s v="1.5%"/>
    <n v="573"/>
    <n v="3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x v="0"/>
    <s v="Public"/>
    <s v="Dormants non-bookers"/>
    <s v="20250605_crm_summeranticipation_repush_gp_none_fr_w23"/>
    <m/>
    <s v="34.42%"/>
    <m/>
    <n v="2837"/>
    <n v="1139"/>
  </r>
  <r>
    <x v="1"/>
    <x v="1"/>
    <s v="Public"/>
    <s v="Fullbase"/>
    <s v="20250703_crm_d2bq3_initial_gp_none_fr_w27"/>
    <m/>
    <s v="33.51%"/>
    <m/>
    <n v="2068"/>
    <n v="771"/>
  </r>
  <r>
    <x v="1"/>
    <x v="1"/>
    <s v="Public"/>
    <s v="Dormant "/>
    <s v="20250703_crm_d2bq3dormant_initial_gp_none_fr_w27"/>
    <m/>
    <s v="39.35%"/>
    <m/>
    <n v="934"/>
    <n v="412"/>
  </r>
  <r>
    <x v="1"/>
    <x v="1"/>
    <s v="Public"/>
    <s v="Inactif"/>
    <s v="20250703_crm_d2bq3inactive_initial_gp_none_fr_w27"/>
    <m/>
    <s v="35.63%"/>
    <m/>
    <n v="175"/>
    <n v="91"/>
  </r>
  <r>
    <x v="1"/>
    <x v="2"/>
    <s v="Public"/>
    <s v="Openers non clickers"/>
    <s v="20250708_crm_d2bq3_repush_gp_none_fr_w28"/>
    <m/>
    <s v="81.38%"/>
    <m/>
    <n v="404"/>
    <n v="294"/>
  </r>
  <r>
    <x v="1"/>
    <x v="2"/>
    <s v="Public"/>
    <s v="Non bookers"/>
    <s v="20250708_crm_d2bq3dormant_repush_gp_none_fr_w28"/>
    <m/>
    <s v="38.36%"/>
    <m/>
    <n v="492"/>
    <n v="266"/>
  </r>
  <r>
    <x v="1"/>
    <x v="2"/>
    <s v="Public"/>
    <s v="Non bookers"/>
    <s v="20250708_crm_d2bq3inactive_repush_gp_none_fr_w28"/>
    <m/>
    <s v="35.39%"/>
    <m/>
    <n v="76"/>
    <n v="266"/>
  </r>
  <r>
    <x v="1"/>
    <x v="2"/>
    <s v="Public"/>
    <s v="Non bookers"/>
    <s v="202507012_crm_d2bq3_repush_gp_none_fr_w28"/>
    <m/>
    <s v="31.45%"/>
    <m/>
    <n v="1881"/>
    <n v="613"/>
  </r>
  <r>
    <x v="1"/>
    <x v="2"/>
    <s v="Public"/>
    <s v="Non bookers"/>
    <s v="202507012_crm_d2bq3dormant_repush_gp_none_fr_w28"/>
    <m/>
    <s v="40.55%"/>
    <m/>
    <n v="267"/>
    <n v="152"/>
  </r>
  <r>
    <x v="1"/>
    <x v="2"/>
    <s v="Public"/>
    <s v="Non bookers"/>
    <s v="20250712_crm_d2bq3inactive_repush_gp_none_fr_w28"/>
    <m/>
    <s v="35.92%"/>
    <m/>
    <n v="7"/>
    <n v="3"/>
  </r>
  <r>
    <x v="2"/>
    <x v="1"/>
    <s v="Public"/>
    <s v="Non bookers"/>
    <s v="20250718_crm_lastminute_initial_gp_none_fr_w29"/>
    <m/>
    <s v="34.87%"/>
    <m/>
    <n v="2883"/>
    <n v="1152"/>
  </r>
  <r>
    <x v="3"/>
    <x v="1"/>
    <s v="Public"/>
    <s v="Non-bookers :  no booking since 30/06/2025"/>
    <s v="20250729_crm_bundlesandprotections_initial_gp_none_fr_w31"/>
    <m/>
    <s v="38.08%"/>
    <m/>
    <n v="2036"/>
    <n v="631"/>
  </r>
  <r>
    <x v="4"/>
    <x v="1"/>
    <s v="Public"/>
    <s v="Non-bookers :  no booking since 30/06/2025"/>
    <s v="20250806_crm_globalcampaignaugust_initial_gp_none_fr_w32"/>
    <m/>
    <s v="33.04%"/>
    <m/>
    <n v="2399"/>
    <n v="811"/>
  </r>
  <r>
    <x v="4"/>
    <x v="2"/>
    <s v="Public"/>
    <s v="Non-bookers"/>
    <s v="20250814_crm_globalcampaignaugust_repush_gp_none_fr_w33"/>
    <m/>
    <s v="33.63%"/>
    <m/>
    <n v="2373"/>
    <n v="711"/>
  </r>
  <r>
    <x v="5"/>
    <x v="1"/>
    <s v="Privilege"/>
    <s v="T3/T4 Privilege + T1/T2 who rented a premium car in the last 2 years"/>
    <s v="20250825_privilege_globalpromo_premiumfleet_initial_all_all_none_uk_w35"/>
    <m/>
    <s v="59.85%"/>
    <m/>
    <n v="274"/>
    <n v="103"/>
  </r>
  <r>
    <x v="6"/>
    <x v="1"/>
    <s v="Public"/>
    <s v="Non-bookers since 05/08/2025"/>
    <s v="20250905_crm_foryoudays_initial_gp_none_fr_w36"/>
    <m/>
    <s v="32.81%"/>
    <m/>
    <n v="2292"/>
    <n v="639"/>
  </r>
  <r>
    <x v="6"/>
    <x v="1"/>
    <s v="Privilege"/>
    <s v="Non-bookers since 05/08/2025"/>
    <s v="20250905_privilege_globalpromo_foryoudays_initial_all_all_none_fr_w36"/>
    <m/>
    <s v="35.91%"/>
    <m/>
    <n v="410"/>
    <n v="21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5-06-05T00:00:00"/>
    <s v="Summeranticipation"/>
    <x v="0"/>
    <x v="0"/>
    <s v="Main Banner"/>
    <s v="Top"/>
    <n v="7.2999999999999995E-2"/>
    <n v="0.42099999999999999"/>
    <s v="Podcast"/>
    <s v="Bottom"/>
    <n v="8.9999999999999993E-3"/>
    <n v="8.9999999999999993E-3"/>
    <n v="2837"/>
    <n v="1139"/>
  </r>
  <r>
    <d v="2025-07-03T00:00:00"/>
    <s v="D2Bq3"/>
    <x v="1"/>
    <x v="1"/>
    <s v="Main Banner"/>
    <s v="Top"/>
    <n v="5.8999999999999997E-2"/>
    <n v="0.26800000000000002"/>
    <s v="My EC banner"/>
    <s v="Bottom"/>
    <s v="/"/>
    <n v="2.4E-2"/>
    <n v="2068"/>
    <n v="771"/>
  </r>
  <r>
    <d v="2025-07-03T00:00:00"/>
    <s v="D2Bq3Dormant"/>
    <x v="1"/>
    <x v="1"/>
    <s v="Main Banner"/>
    <s v="Top"/>
    <n v="6.4000000000000001E-2"/>
    <n v="0.29399999999999998"/>
    <s v="My EC banner"/>
    <s v="Bottom"/>
    <s v="/"/>
    <n v="3.2000000000000001E-2"/>
    <n v="934"/>
    <n v="412"/>
  </r>
  <r>
    <d v="2025-07-03T00:00:00"/>
    <s v="D2Bq3Inactive"/>
    <x v="1"/>
    <x v="1"/>
    <s v="Main Banner"/>
    <s v="Top"/>
    <n v="5.7000000000000002E-2"/>
    <n v="0.32"/>
    <s v="Visual left"/>
    <s v="Middle"/>
    <n v="0"/>
    <n v="2.9000000000000001E-2"/>
    <n v="175"/>
    <n v="91"/>
  </r>
  <r>
    <d v="2025-07-08T00:00:00"/>
    <s v="D2Bq3"/>
    <x v="1"/>
    <x v="1"/>
    <s v="Main Banner"/>
    <s v="Top"/>
    <n v="8.3000000000000004E-2"/>
    <n v="0.438"/>
    <s v="My EC banner"/>
    <s v="Bottom"/>
    <s v="/"/>
    <n v="0.02"/>
    <n v="404"/>
    <n v="294"/>
  </r>
  <r>
    <d v="2025-07-08T00:00:00"/>
    <s v="D2Bq3Dormant"/>
    <x v="1"/>
    <x v="1"/>
    <s v="Main Banner"/>
    <s v="Top"/>
    <n v="6.4000000000000001E-2"/>
    <n v="0.52900000000000003"/>
    <s v="Visual left"/>
    <s v="Middle"/>
    <n v="1.0999999999999999E-2"/>
    <n v="1.0999999999999999E-2"/>
    <n v="492"/>
    <n v="266"/>
  </r>
  <r>
    <d v="2025-07-08T00:00:00"/>
    <s v="D2Bq3Inactive"/>
    <x v="1"/>
    <x v="1"/>
    <s v="Main Banner"/>
    <s v="Top"/>
    <n v="6.7000000000000004E-2"/>
    <n v="0.41299999999999998"/>
    <s v="Visual left"/>
    <s v="Middle"/>
    <n v="0"/>
    <n v="1.2999999999999999E-2"/>
    <n v="76"/>
    <n v="266"/>
  </r>
  <r>
    <d v="2025-07-12T00:00:00"/>
    <s v="D2Bq3"/>
    <x v="1"/>
    <x v="1"/>
    <s v="Main Banner"/>
    <s v="Top"/>
    <n v="6.7000000000000004E-2"/>
    <n v="0.27900000000000003"/>
    <s v="My EC banner"/>
    <s v="Bottom"/>
    <s v="/"/>
    <n v="2.4E-2"/>
    <n v="1881"/>
    <n v="613"/>
  </r>
  <r>
    <d v="2025-07-12T00:00:00"/>
    <s v="D2Bq3Dormant"/>
    <x v="1"/>
    <x v="1"/>
    <s v="Main Banner"/>
    <s v="Top"/>
    <n v="9.8000000000000004E-2"/>
    <n v="0.44700000000000001"/>
    <s v="Visual left"/>
    <s v="Middle"/>
    <n v="0"/>
    <n v="1.7000000000000001E-2"/>
    <n v="267"/>
    <n v="152"/>
  </r>
  <r>
    <d v="2025-07-12T00:00:00"/>
    <s v="D2Bq3Inactive"/>
    <x v="1"/>
    <x v="1"/>
    <s v="Main Banner"/>
    <s v="Top"/>
    <n v="0.14299999999999999"/>
    <n v="0.14299999999999999"/>
    <s v="My EC banner + Visual left"/>
    <s v="Middle &amp; Bottom"/>
    <n v="0"/>
    <n v="0"/>
    <n v="7"/>
    <n v="3"/>
  </r>
  <r>
    <d v="2025-07-18T00:00:00"/>
    <s v="Lastminute"/>
    <x v="1"/>
    <x v="1"/>
    <s v="Main Banner"/>
    <s v="Top"/>
    <n v="3.3000000000000002E-2"/>
    <n v="0.39600000000000002"/>
    <s v="/"/>
    <s v="/"/>
    <s v="/"/>
    <n v="2.1999999999999999E-2"/>
    <n v="2883"/>
    <n v="1152"/>
  </r>
  <r>
    <d v="2025-07-29T00:00:00"/>
    <s v="Bundlesandprotections"/>
    <x v="1"/>
    <x v="1"/>
    <s v="Header"/>
    <s v="Top"/>
    <s v="/"/>
    <n v="0.20899999999999999"/>
    <s v="My EC banner"/>
    <s v="Bottom"/>
    <n v="1.7000000000000001E-2"/>
    <n v="1.7000000000000001E-2"/>
    <n v="2036"/>
    <n v="631"/>
  </r>
  <r>
    <d v="2025-08-06T00:00:00"/>
    <s v="Globalcampaignaugust"/>
    <x v="2"/>
    <x v="2"/>
    <s v="Main Banner"/>
    <s v="Top"/>
    <n v="4.4999999999999998E-2"/>
    <n v="0.29199999999999998"/>
    <s v="My EC banner"/>
    <s v="Bottom"/>
    <s v="/"/>
    <n v="1.0999999999999999E-2"/>
    <n v="2399"/>
    <n v="811"/>
  </r>
  <r>
    <d v="2025-08-14T00:00:00"/>
    <s v="Globalcampaignaugust"/>
    <x v="2"/>
    <x v="2"/>
    <s v="Main Banner"/>
    <s v="Top"/>
    <n v="5.8000000000000003E-2"/>
    <n v="0.25800000000000001"/>
    <s v="My EC banner"/>
    <s v="Bottom"/>
    <s v="/"/>
    <n v="1.4999999999999999E-2"/>
    <n v="2373"/>
    <n v="711"/>
  </r>
  <r>
    <d v="2025-08-25T00:00:00"/>
    <s v="Premiumfleet"/>
    <x v="2"/>
    <x v="2"/>
    <s v="Main Banner"/>
    <s v="Top"/>
    <n v="6.6000000000000003E-2"/>
    <n v="0.40500000000000003"/>
    <s v="/"/>
    <s v="/"/>
    <s v="/"/>
    <s v="/"/>
    <n v="274"/>
    <n v="103"/>
  </r>
  <r>
    <d v="2025-09-05T00:00:00"/>
    <s v="Foryoudays"/>
    <x v="3"/>
    <x v="3"/>
    <s v="Main Banner"/>
    <s v="Top"/>
    <n v="2.5999999999999999E-2"/>
    <n v="0.219"/>
    <s v="My EC banner"/>
    <s v="Bottom"/>
    <s v="/"/>
    <n v="5.6000000000000001E-2"/>
    <n v="2292"/>
    <n v="639"/>
  </r>
  <r>
    <d v="2025-09-05T00:00:00"/>
    <s v="Foryoudays"/>
    <x v="3"/>
    <x v="3"/>
    <s v="Main Banner"/>
    <s v="Top"/>
    <n v="6.6000000000000003E-2"/>
    <n v="0.436"/>
    <s v="/"/>
    <s v="/"/>
    <s v="/"/>
    <s v="/"/>
    <n v="410"/>
    <n v="21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4">
  <r>
    <x v="0"/>
    <s v="20250605_crm_summeranticipation_repush_gp_none_fr_w23"/>
    <s v="Public"/>
    <m/>
    <s v="Main Banner"/>
    <s v="Top"/>
    <n v="7.2999999999999995E-2"/>
    <n v="0.42099999999999999"/>
    <s v="Podcast"/>
    <s v="Bottom"/>
    <n v="8.9999999999999993E-3"/>
    <n v="8.9999999999999993E-3"/>
  </r>
  <r>
    <x v="1"/>
    <s v="20250703_crm_d2bq3_initial_gp_none_fr_w27"/>
    <s v="Public"/>
    <m/>
    <s v="Main Banner"/>
    <s v="Top"/>
    <n v="5.8999999999999997E-2"/>
    <n v="0.26800000000000002"/>
    <s v="My EC banner"/>
    <s v="Bottom"/>
    <s v="No result"/>
    <n v="2.4E-2"/>
  </r>
  <r>
    <x v="2"/>
    <s v="20250703_crm_d2bq3dormant_initial_gp_none_fr_w27"/>
    <s v="Public"/>
    <m/>
    <s v="Main Banner"/>
    <s v="Top"/>
    <n v="6.4000000000000001E-2"/>
    <n v="0.29399999999999998"/>
    <s v="My EC banner"/>
    <s v="Bottom"/>
    <s v="No result"/>
    <n v="3.2000000000000001E-2"/>
  </r>
  <r>
    <x v="3"/>
    <s v="20250703_crm_d2bq3inactive_initial_gp_none_fr_w27"/>
    <s v="Public"/>
    <m/>
    <s v="Main Banner"/>
    <s v="Top"/>
    <n v="5.7000000000000002E-2"/>
    <n v="0.32"/>
    <s v="Visual left"/>
    <s v="Middle"/>
    <n v="0"/>
    <n v="2.9000000000000001E-2"/>
  </r>
  <r>
    <x v="1"/>
    <s v="20250708_crm_d2bq3_repush_gp_none_fr_w28"/>
    <s v="Public"/>
    <m/>
    <s v="Main Banner"/>
    <s v="Top"/>
    <n v="8.3000000000000004E-2"/>
    <n v="0.438"/>
    <s v="My EC banner"/>
    <s v="Bottom"/>
    <s v="No result"/>
    <n v="0.02"/>
  </r>
  <r>
    <x v="2"/>
    <s v="20250708_crm_d2bq3dormant_repush_gp_none_fr_w28"/>
    <s v="Public"/>
    <m/>
    <s v="Main Banner"/>
    <s v="Top"/>
    <n v="6.4000000000000001E-2"/>
    <n v="0.52900000000000003"/>
    <s v="Visual left"/>
    <s v="Middle"/>
    <n v="1.0999999999999999E-2"/>
    <n v="1.0999999999999999E-2"/>
  </r>
  <r>
    <x v="3"/>
    <s v="20250708_crm_d2bq3inactive_repush_gp_none_fr_w28"/>
    <s v="Public"/>
    <m/>
    <s v="Main Banner"/>
    <s v="Top"/>
    <n v="6.7000000000000004E-2"/>
    <n v="0.41299999999999998"/>
    <s v="Visual left"/>
    <s v="Middle"/>
    <n v="0"/>
    <n v="1.2999999999999999E-2"/>
  </r>
  <r>
    <x v="1"/>
    <s v="202507012_crm_d2bq3_repush_gp_none_fr_w28"/>
    <s v="Public"/>
    <m/>
    <s v="Main Banner"/>
    <s v="Top"/>
    <n v="6.7000000000000004E-2"/>
    <n v="0.27900000000000003"/>
    <s v="My EC banner"/>
    <s v="Bottom"/>
    <s v="No result"/>
    <n v="2.4E-2"/>
  </r>
  <r>
    <x v="2"/>
    <s v="202507012_crm_d2bq3dormant_repush_gp_none_fr_w28"/>
    <s v="Public"/>
    <m/>
    <s v="Main Banner"/>
    <s v="Top"/>
    <n v="9.8000000000000004E-2"/>
    <n v="0.44700000000000001"/>
    <s v="Visual left"/>
    <s v="Middle"/>
    <n v="0"/>
    <n v="1.7000000000000001E-2"/>
  </r>
  <r>
    <x v="3"/>
    <s v="20250712_crm_d2bq3inactive_repush_gp_none_fr_w28"/>
    <s v="Public"/>
    <m/>
    <s v="Main Banner"/>
    <s v="Top"/>
    <n v="0.14299999999999999"/>
    <n v="0.14299999999999999"/>
    <s v="My EC banner + Visual left"/>
    <s v="Middle"/>
    <n v="0"/>
    <n v="0"/>
  </r>
  <r>
    <x v="4"/>
    <s v="20250718_crm_lastminute_initial_gp_none_fr_w29"/>
    <s v="Public"/>
    <m/>
    <s v="Main Banner"/>
    <s v="Top"/>
    <n v="3.3000000000000002E-2"/>
    <n v="0.39600000000000002"/>
    <s v="No result"/>
    <s v="No Result"/>
    <s v="No result"/>
    <n v="2.1999999999999999E-2"/>
  </r>
  <r>
    <x v="4"/>
    <s v="20250729_crm_bundlesandprotections_initial_gp_none_fr_w31"/>
    <s v="Public"/>
    <m/>
    <s v="Main Banner"/>
    <s v="Top"/>
    <s v="No result"/>
    <n v="0.20899999999999999"/>
    <s v="My EC banner"/>
    <s v="Bottom"/>
    <n v="1.7000000000000001E-2"/>
    <n v="1.7000000000000001E-2"/>
  </r>
  <r>
    <x v="5"/>
    <s v="20250806_crm_globalcampaignaugust_initial_gp_none_fr_w32"/>
    <s v="Public"/>
    <m/>
    <s v="Main Banner"/>
    <s v="Top"/>
    <n v="4.4999999999999998E-2"/>
    <n v="0.29199999999999998"/>
    <s v="My EC banner"/>
    <s v="Bottom"/>
    <s v="No result"/>
    <n v="1.0999999999999999E-2"/>
  </r>
  <r>
    <x v="5"/>
    <s v="20250814_crm_globalcampaignaugust_repush_gp_none_fr_w33"/>
    <s v="Public"/>
    <m/>
    <s v="Main Banner"/>
    <s v="Top"/>
    <n v="5.8000000000000003E-2"/>
    <n v="0.25800000000000001"/>
    <s v="My EC banner"/>
    <s v="Bottom"/>
    <s v="No result"/>
    <n v="1.4999999999999999E-2"/>
  </r>
  <r>
    <x v="6"/>
    <s v="20250825_privilege_globalpromo_premiumfleet_initial_all_all_none_uk_w35"/>
    <s v="Privilege"/>
    <m/>
    <s v="Main Banner"/>
    <s v="Top"/>
    <n v="6.6000000000000003E-2"/>
    <n v="0.40500000000000003"/>
    <s v="No result"/>
    <s v="No Result"/>
    <s v="No result"/>
    <s v="/"/>
  </r>
  <r>
    <x v="7"/>
    <s v="20250905_crm_foryoudays_initial_gp_none_fr_w36"/>
    <s v="Public"/>
    <m/>
    <s v="Main Banner"/>
    <s v="Top"/>
    <n v="2.5999999999999999E-2"/>
    <n v="0.219"/>
    <s v="My EC banner"/>
    <s v="Bottom"/>
    <s v="No result"/>
    <n v="5.6000000000000001E-2"/>
  </r>
  <r>
    <x v="7"/>
    <s v="20250905_privilege_globalpromo_foryoudays_initial_all_all_none_fr_w36"/>
    <s v="Privilege"/>
    <m/>
    <s v="Main Banner"/>
    <s v="Top"/>
    <n v="6.6000000000000003E-2"/>
    <n v="0.436"/>
    <s v="No result"/>
    <s v="No Result"/>
    <s v="No result"/>
    <s v="/"/>
  </r>
  <r>
    <x v="8"/>
    <s v="20250911_crm_flashsaleseptember_initial_gp_none_fr_w37"/>
    <s v="Public"/>
    <m/>
    <s v="Main Banner"/>
    <s v="Top"/>
    <n v="0.20799999999999999"/>
    <n v="0.186"/>
    <s v="My EC banner"/>
    <s v="Bottom"/>
    <s v="No result"/>
    <n v="2.8000000000000001E-2"/>
  </r>
  <r>
    <x v="8"/>
    <s v="20250911_privilege_globalpromo_flashsaleseptember_initial_all_all_none_fr_w37"/>
    <s v="Privilege"/>
    <m/>
    <s v="Main Banner"/>
    <s v="Top"/>
    <n v="2.8000000000000001E-2"/>
    <n v="0.67100000000000004"/>
    <s v="App Banner"/>
    <s v="Bottom"/>
    <s v="No result"/>
    <n v="5.0000000000000001E-3"/>
  </r>
  <r>
    <x v="8"/>
    <s v="20250914_crm_flashsaleseptember_repush_gp_none_fr_w38"/>
    <s v="Public"/>
    <m/>
    <s v="Main Banner"/>
    <s v="Top"/>
    <s v="7.4%"/>
    <s v="14.9%"/>
    <s v="Visual left"/>
    <s v="Middle"/>
    <s v="2.1%"/>
    <n v="0.05"/>
  </r>
  <r>
    <x v="8"/>
    <s v="20250914_privilege_globalpromo_flashsaleseptember_repush_all_all_none_fr_w38"/>
    <s v="Privilege"/>
    <m/>
    <s v="Main Banner"/>
    <s v="Top"/>
    <s v="3.7%"/>
    <s v="66.5%"/>
    <s v="Grey banner"/>
    <s v="Bottom"/>
    <s v="No result"/>
    <s v="1.5%"/>
  </r>
  <r>
    <x v="9"/>
    <s v="20250930_d2bautumnvacation_launch_public_all_fr_gc_w40_newsletter_none"/>
    <s v="Public"/>
    <m/>
    <s v="Main Banner"/>
    <s v="Top"/>
    <m/>
    <s v="43.7%"/>
    <s v="Grey banner"/>
    <s v="Bottom"/>
    <m/>
    <s v="3.9%"/>
  </r>
  <r>
    <x v="9"/>
    <s v="20250930_d2bautumnvacation_launch_privilege-all_all_fr_gc_w40_newsletter_none"/>
    <s v="Privilege"/>
    <m/>
    <s v="Main Banner"/>
    <s v="Top"/>
    <s v="1.3%"/>
    <s v="63.1%"/>
    <s v="Grey banner"/>
    <s v="Bottom"/>
    <m/>
    <s v="0.9%"/>
  </r>
  <r>
    <x v="9"/>
    <s v="20251009_d2bautumnvacation_repush_public_all_fr_gc_w41_newsletter_none"/>
    <s v="Public"/>
    <m/>
    <s v="Main Banner"/>
    <s v="Top"/>
    <m/>
    <n v="0.48"/>
    <s v="Grey banner"/>
    <s v="Bottom"/>
    <m/>
    <s v="2.7%"/>
  </r>
  <r>
    <x v="9"/>
    <s v="20251009_d2bautumnvacation_repush_privilege-all_all_fr_gc_w41_newsletter_none"/>
    <s v="Privilege"/>
    <m/>
    <s v="Main Banner"/>
    <s v="Top"/>
    <s v="4.3%"/>
    <s v="58.1%"/>
    <s v="Grey banner"/>
    <s v="Bottom"/>
    <m/>
    <s v="4.3%"/>
  </r>
  <r>
    <x v="10"/>
    <s v="20251017_evfleetawareness_launch_public_all_com_gc_w42_newsletter_v1"/>
    <s v="Public"/>
    <m/>
    <s v="Main Banner"/>
    <s v="Top"/>
    <m/>
    <s v="18.8%"/>
    <s v="App Banner"/>
    <s v="Bottom"/>
    <m/>
    <s v="3.8%"/>
  </r>
  <r>
    <x v="10"/>
    <s v="20251017_evfleetawareness_launch_public_all_com_gc_w42_newsletter_v2"/>
    <s v="Public"/>
    <m/>
    <s v="Main Banner"/>
    <s v="Top"/>
    <s v="2.9%"/>
    <s v="9.6%"/>
    <s v="Privilege for you"/>
    <s v="Bottom"/>
    <n v="0.02"/>
    <s v="3.9%"/>
  </r>
  <r>
    <x v="10"/>
    <s v="20251017_evfleetawareness_launch_public_all_fr_gc_w42_newsletter_v1"/>
    <s v="Public"/>
    <m/>
    <s v="Main Banner"/>
    <s v="Top"/>
    <m/>
    <s v="11.2%"/>
    <s v="Toussaint bloc"/>
    <s v="Bottom"/>
    <s v="4.1%"/>
    <s v="3.5%"/>
  </r>
  <r>
    <x v="11"/>
    <s v="20251030_tier-matching_repush_public_all_com_gc_w44_newsletter_t2"/>
    <s v="Public"/>
    <m/>
    <s v="Main Banner"/>
    <s v="Top"/>
    <m/>
    <s v="46.7%"/>
    <m/>
    <m/>
    <m/>
    <m/>
  </r>
  <r>
    <x v="11"/>
    <s v="20251030_tier-matching_repush_public_all_com_gc_w44_newsletter_t3"/>
    <s v="Public"/>
    <m/>
    <s v="Main Banner"/>
    <s v="Top"/>
    <m/>
    <s v="45.5%"/>
    <m/>
    <m/>
    <m/>
    <m/>
  </r>
  <r>
    <x v="11"/>
    <s v="20251030_tier-matching_repush_public_all_com_gc_w44_newsletter_t4"/>
    <s v="Public"/>
    <m/>
    <s v="Main Banner"/>
    <s v="Top"/>
    <m/>
    <n v="0.8"/>
    <m/>
    <m/>
    <m/>
    <m/>
  </r>
  <r>
    <x v="12"/>
    <s v="20251105_dtb-q4_launch_public_all_com_gc_w45_newsletter_none"/>
    <s v="Public"/>
    <m/>
    <s v="Main Banner"/>
    <s v="Top"/>
    <m/>
    <s v="47.3%"/>
    <s v="Insertion bloc"/>
    <s v="Bottom"/>
    <s v="2.2%"/>
    <s v="6.2%"/>
  </r>
  <r>
    <x v="12"/>
    <s v="20251105_dtb-q4_launch_privilege-all_all_com_gc_w45_newsletter_none"/>
    <s v="Privilege"/>
    <m/>
    <s v="Main Banner"/>
    <s v="Top"/>
    <s v="5.7%"/>
    <s v="53.2%"/>
    <s v="Grey banner"/>
    <s v="Bottom"/>
    <m/>
    <s v="4.5%"/>
  </r>
  <r>
    <x v="12"/>
    <s v="20251105_dtb-q4_launch_public_all_fr_gc_w45_newsletter_v1"/>
    <s v="Public"/>
    <m/>
    <s v="Main Banner"/>
    <s v="Top"/>
    <m/>
    <m/>
    <m/>
    <m/>
    <m/>
    <m/>
  </r>
  <r>
    <x v="12"/>
    <s v="20251105_dtb-q4_launch_public_all_fr_gc_w45_newsletter_v2premium"/>
    <s v="Public"/>
    <m/>
    <s v="Main Banner"/>
    <s v="Top"/>
    <m/>
    <m/>
    <m/>
    <m/>
    <m/>
    <m/>
  </r>
  <r>
    <x v="12"/>
    <s v="20251105_dtb-q4_launch_public_all_de_gc_w45_newsletter_v1"/>
    <s v="Public"/>
    <m/>
    <s v="Main Banner"/>
    <s v="Top"/>
    <m/>
    <m/>
    <m/>
    <m/>
    <m/>
    <m/>
  </r>
  <r>
    <x v="12"/>
    <s v="20251105_dtb-q4_launch_public_all_de_gc_w45_newsletter_v2premium"/>
    <s v="Public"/>
    <m/>
    <s v="Main Banner"/>
    <s v="Top"/>
    <m/>
    <m/>
    <m/>
    <m/>
    <m/>
    <m/>
  </r>
  <r>
    <x v="12"/>
    <s v="20251105_dtb-q4_launch_public_all_uk_gc_w45_newsletter_v1"/>
    <s v="Public"/>
    <m/>
    <s v="Main Banner"/>
    <s v="Top"/>
    <m/>
    <m/>
    <m/>
    <m/>
    <m/>
    <m/>
  </r>
  <r>
    <x v="12"/>
    <s v="20251105_dtb-q4_launch_public_all_uk_gc_w45_newsletter_v2premium"/>
    <s v="Public"/>
    <m/>
    <s v="Main Banner"/>
    <s v="Top"/>
    <m/>
    <m/>
    <m/>
    <m/>
    <m/>
    <m/>
  </r>
  <r>
    <x v="12"/>
    <s v="20251105_dtb-q4_launch_privilege-all_all_fr_gc_w45_newsletter_v1"/>
    <s v="Privilege"/>
    <m/>
    <s v="Main Banner"/>
    <s v="Top"/>
    <m/>
    <m/>
    <m/>
    <m/>
    <m/>
    <m/>
  </r>
  <r>
    <x v="12"/>
    <s v="20251105_dtb-q4_launch_privilege-all_all_fr_gc_w45_newsletter_v2premium"/>
    <s v="Privilege"/>
    <m/>
    <s v="Main Banner"/>
    <s v="Top"/>
    <m/>
    <m/>
    <m/>
    <m/>
    <m/>
    <m/>
  </r>
  <r>
    <x v="12"/>
    <s v="20251105_dtb-q4_launch_privilege-all_all_de_gc_w45_newsletter_v1"/>
    <s v="Privilege"/>
    <m/>
    <s v="Main Banner"/>
    <s v="Top"/>
    <m/>
    <m/>
    <m/>
    <m/>
    <m/>
    <m/>
  </r>
  <r>
    <x v="12"/>
    <s v="20251105_dtb-q4_launch_privilege-all_all_de_gc_w45_newsletter_v2premium"/>
    <s v="Privilege"/>
    <m/>
    <s v="Main Banner"/>
    <s v="Top"/>
    <m/>
    <m/>
    <m/>
    <m/>
    <m/>
    <m/>
  </r>
  <r>
    <x v="12"/>
    <s v="20251105_dtb-q4_launch_privilege-all_all_uk_gc_w45_newsletter_v1"/>
    <s v="Privilege"/>
    <m/>
    <s v="Main Banner"/>
    <s v="Top"/>
    <m/>
    <m/>
    <m/>
    <m/>
    <m/>
    <m/>
  </r>
  <r>
    <x v="12"/>
    <s v="20251105_dtb-q4_launch_privilege-all_all_uk_gc_w45_newsletter_v2premium"/>
    <s v="Privilege"/>
    <m/>
    <s v="Main Banner"/>
    <s v="Top"/>
    <m/>
    <m/>
    <m/>
    <m/>
    <m/>
    <m/>
  </r>
  <r>
    <x v="12"/>
    <s v="20251113_dtb-q4_repush_public_nonbookers_com_gc_w46_newsletter_none"/>
    <s v="Public"/>
    <m/>
    <s v="Main Banner"/>
    <s v="Top"/>
    <m/>
    <s v="47.3%"/>
    <s v="Insertion bloc"/>
    <s v="Bottom"/>
    <s v="2.2"/>
    <s v="6.2%"/>
  </r>
  <r>
    <x v="12"/>
    <s v="20251113_dtb-q4_repush_privilege-all_nonbookers_com_gc_w46_newsletter_none"/>
    <s v="Privilege"/>
    <m/>
    <s v="Main Banner"/>
    <s v="Top"/>
    <s v="6.9%"/>
    <s v="49.8%"/>
    <s v="Grey banner"/>
    <s v="Bottom"/>
    <m/>
    <s v="5.7%"/>
  </r>
  <r>
    <x v="13"/>
    <s v="20251118_re-optin_launch_public_all_com_gc_w47_newsletter_none"/>
    <s v="Public"/>
    <m/>
    <s v="Main Banner"/>
    <s v="Top"/>
    <m/>
    <m/>
    <m/>
    <m/>
    <m/>
    <m/>
  </r>
  <r>
    <x v="13"/>
    <s v="20251118_re-optin_launch_privilege-all_all_com_gc_w47_newsletter_none"/>
    <s v="Privilege"/>
    <m/>
    <s v="Main Banner"/>
    <s v="Top"/>
    <m/>
    <s v="37.9%"/>
    <m/>
    <m/>
    <m/>
    <m/>
  </r>
  <r>
    <x v="14"/>
    <s v="20251126_blackfridaytocybermonday_launch_public_nonbookers_com_gc_w48_newsletter_none_ab1"/>
    <s v="Public"/>
    <m/>
    <s v="Main Banner"/>
    <s v="Top"/>
    <m/>
    <m/>
    <m/>
    <m/>
    <m/>
    <m/>
  </r>
  <r>
    <x v="14"/>
    <s v="20251126_blackfridaytocybermonday_launch_public_nonbookers_com_gc_w48_newsletter_none_ab2"/>
    <s v="Public"/>
    <m/>
    <s v="Main Banner"/>
    <s v="Top"/>
    <m/>
    <m/>
    <m/>
    <m/>
    <m/>
    <m/>
  </r>
  <r>
    <x v="14"/>
    <s v="20251126_blackfridaytocybermonday_launch_privilege-all_nonbookers_com_gc_w48_newsletter_none"/>
    <s v="Public"/>
    <m/>
    <s v="Main Banner"/>
    <s v="Top"/>
    <m/>
    <s v="59.7%"/>
    <m/>
    <m/>
    <m/>
    <m/>
  </r>
  <r>
    <x v="14"/>
    <s v="20251126_blackfridaytocybermonday_launch_privilege-all_nonbookers_fr_gc_w48_newsletter_none_ab1"/>
    <s v="Privilege"/>
    <m/>
    <s v="Main Banner"/>
    <s v="Top"/>
    <m/>
    <s v="70.7%"/>
    <m/>
    <m/>
    <m/>
    <m/>
  </r>
  <r>
    <x v="14"/>
    <s v="20251126_blackfridaytocybermonday_launch_privilege-all_nonbookers_fr_gc_w48_newsletter_none_ab2"/>
    <s v="Privilege"/>
    <m/>
    <s v="Main Banner"/>
    <s v="Top"/>
    <m/>
    <s v="58.3%"/>
    <m/>
    <m/>
    <m/>
    <m/>
  </r>
  <r>
    <x v="14"/>
    <s v="20251126_blackfridaytocybermonday_launch_privilege-all_nonbookers_fr_gc_w48_newsletter_none_ab3"/>
    <s v="Privilege"/>
    <m/>
    <s v="Main Banner"/>
    <s v="Top"/>
    <m/>
    <s v="77.4%"/>
    <m/>
    <m/>
    <m/>
    <m/>
  </r>
  <r>
    <x v="14"/>
    <s v="20251126_blackfridaytocybermonday_launch_privilege-all_nonbookers_de_gc_w48_newsletter_none_ab1"/>
    <s v="Privilege"/>
    <m/>
    <s v="Main Banner"/>
    <s v="Top"/>
    <m/>
    <n v="0.72"/>
    <m/>
    <m/>
    <m/>
    <m/>
  </r>
  <r>
    <x v="14"/>
    <s v="20251126_blackfridaytocybermonday_launch_privilege-all_nonbookers_de_gc_w48_newsletter_none_ab2"/>
    <s v="Privilege"/>
    <m/>
    <s v="Main Banner"/>
    <s v="Top"/>
    <m/>
    <s v="53.4%"/>
    <m/>
    <m/>
    <m/>
    <m/>
  </r>
  <r>
    <x v="14"/>
    <s v="20251126_blackfridaytocybermonday_launch_privilege-all_nonbookers_de_gc_w48_newsletter_none_ab3"/>
    <s v="Privilege"/>
    <m/>
    <s v="Main Banner"/>
    <s v="Top"/>
    <m/>
    <s v="82.4%"/>
    <m/>
    <m/>
    <m/>
    <m/>
  </r>
  <r>
    <x v="14"/>
    <s v="20251126_blackfridaytocybermonday_launch_public_nonbookers_com_gc_w48_newsletter_none_ab2"/>
    <s v="Public"/>
    <m/>
    <s v="Main Banner"/>
    <s v="Top"/>
    <m/>
    <m/>
    <m/>
    <m/>
    <m/>
    <m/>
  </r>
  <r>
    <x v="15"/>
    <s v="20251211_pfydays_launch_privilege-all_all_com_gc_w50_newsletter_none"/>
    <s v="Privilege"/>
    <m/>
    <s v="Main Banner"/>
    <s v="Top"/>
    <m/>
    <s v="56.6%"/>
    <s v="Grey banner"/>
    <s v="Bottom"/>
    <m/>
    <s v="3.6%"/>
  </r>
  <r>
    <x v="15"/>
    <s v="20251211_pfydays_launch_privilege-all_all_au_gc_w50_newsletter_ab1"/>
    <s v="Privilege"/>
    <m/>
    <s v="Main Banner"/>
    <s v="Top"/>
    <m/>
    <s v="56.6%"/>
    <s v="Grey banner"/>
    <s v="Bottom"/>
    <m/>
    <s v="3.6%"/>
  </r>
  <r>
    <x v="15"/>
    <s v="20251211_pfydays_launch_privilege-all_all_au_gc_w50_newsletter_ab2"/>
    <s v="Privilege"/>
    <m/>
    <s v="Main Banner"/>
    <s v="Top"/>
    <m/>
    <s v="53.8%"/>
    <s v="App Banner"/>
    <s v="Bottom"/>
    <m/>
    <s v="0.4%"/>
  </r>
  <r>
    <x v="15"/>
    <s v="20251211_pfydays_launch_privilege-all_all_fr_gc_w50_newsletter_ab1"/>
    <s v="Privilege"/>
    <m/>
    <s v="Main Banner"/>
    <s v="Top"/>
    <m/>
    <s v="78.5%"/>
    <s v="Grey banner"/>
    <s v="Bottom"/>
    <m/>
    <s v="0.6%"/>
  </r>
  <r>
    <x v="15"/>
    <s v="20251211_pfydays_launch_privilege-all_all_fr_gc_w50_newsletter_ab2"/>
    <s v="Privilege"/>
    <m/>
    <s v="Main Banner"/>
    <s v="Top"/>
    <m/>
    <s v="66.8%"/>
    <s v="Grey banner"/>
    <s v="Bottom"/>
    <m/>
    <s v="4.6%"/>
  </r>
  <r>
    <x v="15"/>
    <s v="20251211_pfydays_launch_privilege-all_all_es_gc_w50_newsletter_ab1"/>
    <s v="Privilege"/>
    <m/>
    <s v="Main Banner"/>
    <s v="Top"/>
    <m/>
    <s v="55.4%"/>
    <s v="Grey banner"/>
    <s v="Bottom"/>
    <m/>
    <s v="0.9%"/>
  </r>
  <r>
    <x v="15"/>
    <s v="20251211_pfydays_launch_privilege-all_all_es_gc_w50_newsletter_ab2"/>
    <s v="Privilege"/>
    <m/>
    <s v="Main Banner"/>
    <s v="Top"/>
    <m/>
    <s v="63.4%"/>
    <s v="Green insertion bloc"/>
    <s v="Bottom"/>
    <s v="7.9%"/>
    <n v="0.01"/>
  </r>
  <r>
    <x v="15"/>
    <s v="20251211_pfydays_launch_privilege-all_all_de_gc_w50_newsletter_ab1"/>
    <s v="Privilege"/>
    <m/>
    <s v="Main Banner"/>
    <s v="Top"/>
    <m/>
    <s v="68.5%"/>
    <s v="Grey banner"/>
    <s v="Bottom"/>
    <m/>
    <s v="1.6%"/>
  </r>
  <r>
    <x v="15"/>
    <s v="20251211_pfydays_launch_privilege-all_all_de_gc_w50_newsletter_ab2"/>
    <s v="Privilege"/>
    <m/>
    <s v="Main Banner"/>
    <s v="Top"/>
    <m/>
    <s v="73.5%"/>
    <s v="Grey banner"/>
    <s v="Bottom"/>
    <m/>
    <s v="0.9%"/>
  </r>
  <r>
    <x v="15"/>
    <s v="20251211_pfydays_launch_privilege-all_all_uk_gc_w50_newsletter_ab1"/>
    <s v="Privilege"/>
    <m/>
    <s v="Main Banner"/>
    <s v="Top"/>
    <m/>
    <s v="63.8%"/>
    <s v="Grey banner"/>
    <s v="Bottom"/>
    <m/>
    <s v="3.9%"/>
  </r>
  <r>
    <x v="15"/>
    <s v="20251211_pfydays_launch_privilege-all_all_uk_gc_w50_newsletter_ab2"/>
    <s v="Privilege"/>
    <m/>
    <s v="Main Banner"/>
    <s v="Top"/>
    <m/>
    <s v="66.4%"/>
    <s v="Green insertion bloc"/>
    <s v="Bottom"/>
    <m/>
    <n v="0"/>
  </r>
  <r>
    <x v="15"/>
    <s v="20251214_pfydays_repush_privilege-all_all_com_gc_w51_newsletter_none"/>
    <s v="Privilege"/>
    <m/>
    <s v="Main Banner"/>
    <s v="Top"/>
    <m/>
    <s v="74.7%"/>
    <s v="Privilege benefit"/>
    <s v="Bottom"/>
    <m/>
    <n v="0"/>
  </r>
  <r>
    <x v="15"/>
    <s v="20251214_pfydays_repush_privilege-all_all_au_gc_w51_newsletter_ab1"/>
    <s v="Privilege"/>
    <m/>
    <s v="Main Banner"/>
    <s v="Top"/>
    <m/>
    <s v="57.9%"/>
    <s v="Green banner"/>
    <s v="Bottom"/>
    <m/>
    <n v="0"/>
  </r>
  <r>
    <x v="15"/>
    <s v="20251214_pfydays_repush_privilege-all_all_au_gc_w51_newsletter_ab2"/>
    <s v="Privilege"/>
    <m/>
    <s v="Main Banner"/>
    <s v="Top"/>
    <m/>
    <s v="74.7%"/>
    <s v="Grey banner"/>
    <s v="Bottom"/>
    <m/>
    <s v="1.9%"/>
  </r>
  <r>
    <x v="15"/>
    <s v="20251214_pfydays_repush_privilege-all_all_fr_gc_w51_newsletter_ab1"/>
    <s v="Privilege"/>
    <m/>
    <s v="Main Banner"/>
    <s v="Top"/>
    <m/>
    <s v="73.6%"/>
    <s v="Green banner"/>
    <s v="Bottom"/>
    <m/>
    <n v="0"/>
  </r>
  <r>
    <x v="15"/>
    <s v="20251214_pfydays_repush_privilege-all_all_fr_gc_w51_newsletter_ab2"/>
    <s v="Privilege"/>
    <m/>
    <s v="Main Banner"/>
    <s v="Top"/>
    <m/>
    <s v="74.9%"/>
    <s v="Grey banner"/>
    <s v="Bottom"/>
    <m/>
    <s v="1.1%"/>
  </r>
  <r>
    <x v="15"/>
    <s v="20251214_pfydays_repush_privilege-all_all_es_gc_w51_newsletter_ab1"/>
    <s v="Privilege"/>
    <m/>
    <s v="Main Banner"/>
    <s v="Top"/>
    <m/>
    <s v="75.9%"/>
    <s v="Green insertion bloc"/>
    <s v="Bottom"/>
    <m/>
    <n v="0"/>
  </r>
  <r>
    <x v="15"/>
    <s v="20251214_pfydays_repush_privilege-all_all_es_gc_w51_newsletter_ab2"/>
    <s v="Privilege"/>
    <m/>
    <s v="Main Banner"/>
    <s v="Top"/>
    <m/>
    <s v="65.3%"/>
    <s v="Grey banner"/>
    <s v="Bottom"/>
    <m/>
    <s v="0.4%"/>
  </r>
  <r>
    <x v="15"/>
    <s v="20251214_pfydays_repush_privilege-all_all_de_gc_w51_newsletter_ab1"/>
    <s v="Privilege"/>
    <m/>
    <s v="Main Banner"/>
    <s v="Top"/>
    <m/>
    <s v="59.8%"/>
    <s v="Grey banner"/>
    <s v="Bottom"/>
    <m/>
    <s v="2.1%"/>
  </r>
  <r>
    <x v="15"/>
    <s v="20251214_pfydays_repush_privilege-all_all_de_gc_w51_newsletter_ab2"/>
    <s v="Privilege"/>
    <m/>
    <s v="Main Banner"/>
    <s v="Top"/>
    <m/>
    <s v="59.7%"/>
    <s v="Green banner"/>
    <s v="Bottom"/>
    <m/>
    <s v="2.2%"/>
  </r>
  <r>
    <x v="15"/>
    <s v="20251214_pfydays_repush_privilege-all_all_uk_gc_w51_newsletter_ab1"/>
    <s v="Privilege"/>
    <m/>
    <s v="Main Banner"/>
    <s v="Top"/>
    <m/>
    <s v="65.6%"/>
    <s v="Green banner"/>
    <s v="Bottom"/>
    <m/>
    <s v="0.6%"/>
  </r>
  <r>
    <x v="15"/>
    <s v="20251214_pfydays_repush_privilege-all_all_uk_gc_w51_newsletter_ab2"/>
    <s v="Privilege"/>
    <m/>
    <s v="Main Banner"/>
    <s v="Top"/>
    <m/>
    <s v="72.3%"/>
    <s v="Green banner"/>
    <s v="Bottom"/>
    <m/>
    <s v="0.4%"/>
  </r>
  <r>
    <x v="16"/>
    <s v="20251218_flashsale_launch_public_all_com_gc_w51_newsletter_none"/>
    <s v="Public"/>
    <m/>
    <s v="Main Banner"/>
    <s v="Top"/>
    <m/>
    <s v="30.9%"/>
    <s v="Green banner"/>
    <s v="Bottom"/>
    <m/>
    <s v="1.8%"/>
  </r>
  <r>
    <x v="17"/>
    <s v="20251218_flashsale_launch_privilege-all_all_com_gc_w51_newsletter_none"/>
    <s v="Privilege"/>
    <m/>
    <s v="Main Banner"/>
    <s v="Top"/>
    <m/>
    <s v="71.2%"/>
    <s v="Privilege benefit"/>
    <s v="Bottom"/>
    <m/>
    <n v="0"/>
  </r>
  <r>
    <x v="18"/>
    <s v="20251230_15eur-off-january26_launch_public_prospects_com_gc_w53_newsletter_none"/>
    <s v="Public"/>
    <m/>
    <s v="Main Banner"/>
    <s v="Top"/>
    <m/>
    <s v="24.3%"/>
    <s v="Green banner"/>
    <s v="Bottom"/>
    <m/>
    <s v="6.6%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E6093-1F11-4C77-A421-E4357662AD84}" name="Tableau croisé dynamique5" cacheId="116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8">
  <location ref="A3:C23" firstHeaderRow="0" firstDataRow="1" firstDataCol="1"/>
  <pivotFields count="12">
    <pivotField axis="axisRow" showAll="0">
      <items count="21">
        <item x="4"/>
        <item x="1"/>
        <item x="2"/>
        <item x="3"/>
        <item x="8"/>
        <item x="7"/>
        <item x="5"/>
        <item m="1" x="19"/>
        <item x="6"/>
        <item x="0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IMAGE CLICK RATE" fld="6" subtotal="average" baseField="1" baseItem="0"/>
    <dataField name="Moyenne de CTA CLICK RATE" fld="7" subtotal="average" baseField="1" baseItem="0"/>
  </dataFields>
  <formats count="2">
    <format dxfId="81">
      <pivotArea grandRow="1" outline="0" collapsedLevelsAreSubtotals="1" fieldPosition="0"/>
    </format>
    <format dxfId="82">
      <pivotArea collapsedLevelsAreSubtotals="1" fieldPosition="0">
        <references count="1">
          <reference field="0" count="4">
            <x v="4"/>
            <x v="5"/>
            <x v="6"/>
            <x v="8"/>
          </reference>
        </references>
      </pivotArea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61066-6037-4837-AA73-FA551314B50A}" name="Tableau croisé dynamique6" cacheId="116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N3:P23" firstHeaderRow="0" firstDataRow="1" firstDataCol="1"/>
  <pivotFields count="12">
    <pivotField axis="axisRow" showAll="0">
      <items count="21">
        <item x="4"/>
        <item x="1"/>
        <item x="2"/>
        <item x="3"/>
        <item x="8"/>
        <item x="7"/>
        <item x="5"/>
        <item m="1" x="19"/>
        <item x="6"/>
        <item x="0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IMAGE CLICK RATE4" fld="10" subtotal="average" baseField="1" baseItem="0"/>
    <dataField name="Moyenne de CTA CLICK RATE5" fld="11" subtotal="average" baseField="1" baseItem="0"/>
  </dataFields>
  <formats count="1">
    <format dxfId="80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9FEFD-CE57-414B-AC26-634C614D05DC}" name="PivotTable2" cacheId="1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T34:W43" firstHeaderRow="0" firstDataRow="1" firstDataCol="2"/>
  <pivotFields count="14">
    <pivotField compact="0" numFmtId="14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2">
    <field x="2"/>
    <field x="3"/>
  </rowFields>
  <rowItems count="9">
    <i>
      <x/>
      <x v="2"/>
    </i>
    <i t="default">
      <x/>
    </i>
    <i>
      <x v="1"/>
      <x v="1"/>
    </i>
    <i t="default">
      <x v="1"/>
    </i>
    <i>
      <x v="2"/>
      <x/>
    </i>
    <i t="default">
      <x v="2"/>
    </i>
    <i>
      <x v="3"/>
      <x v="3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LICKS" fld="12" baseField="0" baseItem="0"/>
    <dataField name="Sum of UNIQUE CLICK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92A6B0-043B-4982-A248-81BD44F905F2}" name="PivotTable1" cacheId="1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T6:W23" firstHeaderRow="0" firstDataRow="1" firstDataCol="2"/>
  <pivotFields count="10">
    <pivotField axis="axisRow" compact="0" outline="0" showAll="0">
      <items count="17">
        <item sd="0" m="1" x="7"/>
        <item sd="0" m="1" x="8"/>
        <item sd="0" m="1" x="9"/>
        <item sd="0" m="1" x="10"/>
        <item sd="0" m="1" x="11"/>
        <item sd="0" m="1" x="12"/>
        <item sd="0" m="1" x="13"/>
        <item sd="0" m="1" x="14"/>
        <item sd="0" m="1" x="15"/>
        <item x="0"/>
        <item x="1"/>
        <item x="2"/>
        <item x="3"/>
        <item x="4"/>
        <item x="5"/>
        <item x="6"/>
        <item t="default" sd="0"/>
      </items>
    </pivotField>
    <pivotField axis="axisRow" compact="0" outline="0" showAll="0">
      <items count="5">
        <item m="1" x="3"/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</pivotFields>
  <rowFields count="2">
    <field x="0"/>
    <field x="1"/>
  </rowFields>
  <rowItems count="17">
    <i>
      <x v="9"/>
      <x v="3"/>
    </i>
    <i t="default">
      <x v="9"/>
    </i>
    <i>
      <x v="10"/>
      <x v="1"/>
    </i>
    <i r="1">
      <x v="2"/>
    </i>
    <i t="default">
      <x v="10"/>
    </i>
    <i>
      <x v="11"/>
      <x v="1"/>
    </i>
    <i t="default">
      <x v="11"/>
    </i>
    <i>
      <x v="12"/>
      <x v="1"/>
    </i>
    <i t="default">
      <x v="12"/>
    </i>
    <i>
      <x v="13"/>
      <x v="1"/>
    </i>
    <i r="1">
      <x v="2"/>
    </i>
    <i t="default">
      <x v="13"/>
    </i>
    <i>
      <x v="14"/>
      <x v="1"/>
    </i>
    <i t="default">
      <x v="14"/>
    </i>
    <i>
      <x v="15"/>
      <x v="1"/>
    </i>
    <i t="default"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LICK" fld="8" baseField="0" baseItem="0"/>
    <dataField name="Sum of UNIQUE CLICK" fld="9" baseField="0" baseItem="0"/>
  </dataFields>
  <chartFormats count="6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E53D19-4EFD-4D5E-8421-247835243001}" name="Tableau croisé dynamique3" cacheId="115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7">
  <location ref="O3:Q8" firstHeaderRow="0" firstDataRow="1" firstDataCol="1" rowPageCount="1" colPageCount="1"/>
  <pivotFields count="17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me de TOTAL CLICKS" fld="13" baseField="0" baseItem="0" numFmtId="3"/>
    <dataField name="Somme de UNIQUE CLICKS" fld="14" baseField="0" baseItem="0" numFmtId="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15E0FB-7F05-45A3-A660-31B9D390406B}" name="Tableau croisé dynamique2" cacheId="115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9">
  <location ref="A3:C30" firstHeaderRow="0" firstDataRow="1" firstDataCol="1" rowPageCount="1" colPageCount="1"/>
  <pivotFields count="17">
    <pivotField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axis="axisPage" multipleItemSelectionAllowed="1" showAll="0">
      <items count="5">
        <item h="1"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3" showAll="0"/>
    <pivotField dataField="1" numFmtId="3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"/>
    <field x="2"/>
  </rowFields>
  <rowItems count="27">
    <i>
      <x v="1"/>
    </i>
    <i r="1">
      <x v="1"/>
    </i>
    <i r="1">
      <x v="2"/>
    </i>
    <i r="1">
      <x v="3"/>
    </i>
    <i>
      <x v="2"/>
    </i>
    <i r="1">
      <x v="1"/>
    </i>
    <i r="1">
      <x v="2"/>
    </i>
    <i r="1">
      <x v="3"/>
    </i>
    <i>
      <x v="3"/>
    </i>
    <i r="1">
      <x v="1"/>
    </i>
    <i r="1">
      <x v="2"/>
    </i>
    <i r="1">
      <x v="3"/>
    </i>
    <i>
      <x v="4"/>
    </i>
    <i r="1">
      <x v="1"/>
    </i>
    <i>
      <x v="5"/>
    </i>
    <i r="1">
      <x v="1"/>
    </i>
    <i>
      <x v="6"/>
    </i>
    <i r="1">
      <x v="1"/>
    </i>
    <i r="1">
      <x v="2"/>
    </i>
    <i>
      <x v="7"/>
    </i>
    <i r="1">
      <x/>
    </i>
    <i>
      <x v="8"/>
    </i>
    <i r="1">
      <x v="1"/>
    </i>
    <i>
      <x v="9"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" hier="-1"/>
  </pageFields>
  <dataFields count="2">
    <dataField name="Somme de TOTAL CLICKS" fld="13" baseField="1" baseItem="0" numFmtId="3"/>
    <dataField name="Somme de UNIQUE CLICKS" fld="14" baseField="0" baseItem="0" numFmtId="3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0335F-2C87-46FF-92A9-23AAA0A6B85B}" name="Tableau1" displayName="Tableau1" ref="A1:I92" totalsRowShown="0" headerRowDxfId="76" dataDxfId="75" headerRowBorderDxfId="73" tableBorderDxfId="74">
  <autoFilter ref="A1:I92" xr:uid="{3A20335F-2C87-46FF-92A9-23AAA0A6B85B}"/>
  <tableColumns count="9">
    <tableColumn id="1" xr3:uid="{104E6DAE-E006-4320-AD7E-680B4E5F4312}" name="DATE" dataDxfId="72"/>
    <tableColumn id="2" xr3:uid="{F071560E-EA5F-441F-8115-FC41661E6548}" name="DAYS SINCE SENT" dataDxfId="71">
      <calculatedColumnFormula>TODAY()-A2</calculatedColumnFormula>
    </tableColumn>
    <tableColumn id="14" xr3:uid="{EA96F5E3-6E85-49D5-A0CD-5637EE2C6800}" name="MARKET" dataDxfId="70"/>
    <tableColumn id="3" xr3:uid="{98586790-0B6D-41D8-B5B7-8CF2E0FBC1D3}" name="CAMPAIGN NAME" dataDxfId="69"/>
    <tableColumn id="4" xr3:uid="{ED744744-325E-4E49-9A44-35B97E99DF07}" name="ACTION" dataDxfId="68"/>
    <tableColumn id="10" xr3:uid="{FC0139D0-04CA-4B8B-84E8-694D98372763}" name="SEGMENTS" dataDxfId="67"/>
    <tableColumn id="5" xr3:uid="{4A9AFDA1-8EE9-4348-9798-660BDEA20297}" name="TRACKING" dataDxfId="66"/>
    <tableColumn id="7" xr3:uid="{70F6FC44-975B-4724-8A97-0BFBA1C224A4}" name="STATUS" dataDxfId="65"/>
    <tableColumn id="8" xr3:uid="{7CCD7100-248C-4E20-9280-E9AA53F0E1B4}" name="COMMENT" dataDxfId="64"/>
  </tableColumns>
  <tableStyleInfo name="TableStyleLight1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2D461-7C1B-4414-B9E8-30F161A41C65}" name="Tableau9" displayName="Tableau9" ref="A1:P100" totalsRowShown="0" headerRowDxfId="62" dataDxfId="61">
  <autoFilter ref="A1:P100" xr:uid="{2022D461-7C1B-4414-B9E8-30F161A41C65}"/>
  <tableColumns count="16">
    <tableColumn id="1" xr3:uid="{C993ECA3-5C9D-40B3-A67B-D944606A6E6D}" name="DATE" dataDxfId="60"/>
    <tableColumn id="2" xr3:uid="{DF0097CC-7E75-40D4-9043-9C0A650508F4}" name="MARKET" dataDxfId="59"/>
    <tableColumn id="3" xr3:uid="{E6986D69-B032-444D-B99A-F58A2DE9F63D}" name="CAMPAIGN NAME" dataDxfId="58"/>
    <tableColumn id="5" xr3:uid="{59483745-6F4A-4A96-A9CB-486C94B78952}" name="ACTION" dataDxfId="57"/>
    <tableColumn id="6" xr3:uid="{473997FC-A1C2-4D87-AA4D-647035EA0262}" name="SEGMENT" dataDxfId="56"/>
    <tableColumn id="8" xr3:uid="{421E9EE3-AC91-4B6C-B52A-379776117386}" name="AUDIENCE SEGMENT" dataDxfId="55"/>
    <tableColumn id="4" xr3:uid="{829E6494-06A2-48C4-80A2-821F58D36FB6}" name="TRACKING" dataDxfId="54"/>
    <tableColumn id="16" xr3:uid="{EABC2811-623D-41EB-9B91-1AB2C0163E51}" name="DELIVERIES" dataDxfId="53"/>
    <tableColumn id="9" xr3:uid="{609258DD-CDFC-4CB7-AF93-D5F6F6C58A94}" name="OPEN RATE" dataDxfId="52"/>
    <tableColumn id="24" xr3:uid="{4CF376CA-5C98-4CBB-8DDA-E891BF6B9FF3}" name="CTR" dataDxfId="51"/>
    <tableColumn id="10" xr3:uid="{B2354747-C47A-462D-80A7-C1723DC56970}" name="TOTAL CLICK" dataDxfId="50"/>
    <tableColumn id="11" xr3:uid="{DE4E7A94-E94E-477F-A195-7AEE758B5DDE}" name="UNIQUE CLICK" dataDxfId="49"/>
    <tableColumn id="22" xr3:uid="{5614B6BD-F45D-411F-BD8A-9ABB2AB14168}" name="UNSUB." dataDxfId="48"/>
    <tableColumn id="19" xr3:uid="{79530FC0-1EE5-436A-872E-11700A58204B}" name="REVENUE" dataDxfId="47"/>
    <tableColumn id="20" xr3:uid="{70F66B9B-C6B0-4085-8DB8-46405532BF58}" name="AB TEST" dataDxfId="46"/>
    <tableColumn id="21" xr3:uid="{13011E7C-AF3A-47F3-8824-3495938F43C4}" name="COMMENT" dataDxfId="45"/>
  </tableColumns>
  <tableStyleInfo name="TableStyleLight11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FA5250-08F9-4199-858D-701EAABCF8D7}" name="Tableau4" displayName="Tableau4" ref="A2:L86" totalsRowShown="0" headerRowDxfId="42" dataDxfId="41">
  <autoFilter ref="A2:L86" xr:uid="{49FA5250-08F9-4199-858D-701EAABCF8D7}"/>
  <tableColumns count="12">
    <tableColumn id="10" xr3:uid="{90E47302-1F7F-477E-88CE-BFCBBF5849B8}" name="CAMPAIGN NAME" dataDxfId="40"/>
    <tableColumn id="1" xr3:uid="{8DDC3080-BC00-4CE9-8229-8188BFFE631C}" name="TRACKING" dataDxfId="39"/>
    <tableColumn id="12" xr3:uid="{737CD755-6841-4428-A4F6-7227C4A439C9}" name="Audience" dataDxfId="38"/>
    <tableColumn id="11" xr3:uid="{DE7EF5ED-CEFD-4750-B961-B805B0E3B4F3}" name="Template" dataDxfId="37"/>
    <tableColumn id="2" xr3:uid="{2C763AEB-B6B0-4CCD-AF48-6AC74C766FFE}" name="SECTION NAME" dataDxfId="36"/>
    <tableColumn id="3" xr3:uid="{7E5C42D1-DC09-4E7D-A213-2984910BED30}" name="POSITION " dataDxfId="35"/>
    <tableColumn id="4" xr3:uid="{F5242C9E-16C1-4B22-8684-F9BA302FBF4C}" name="IMAGE CLICK RATE" dataDxfId="34"/>
    <tableColumn id="5" xr3:uid="{7D389B9C-C750-459B-BB38-27649FB65F8B}" name="CTA CLICK RATE" dataDxfId="33"/>
    <tableColumn id="6" xr3:uid="{ECBD51F3-9D09-462C-9C07-1873AA9B14B1}" name="SECTION NAME2" dataDxfId="32"/>
    <tableColumn id="7" xr3:uid="{2A24915C-5EA7-4303-8FEA-F796D86C77FB}" name="POSITION 2" dataDxfId="31"/>
    <tableColumn id="8" xr3:uid="{3A0B45D4-36EF-4BD2-B28E-F02120F2B05F}" name="IMAGE CLICK RATE4" dataDxfId="30"/>
    <tableColumn id="9" xr3:uid="{F1D5DA12-F4A3-43DC-8EA5-18DAEA64859A}" name="CTA CLICK RATE5" dataDxfId="29"/>
  </tableColumns>
  <tableStyleInfo name="TableStyleLight1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A191A39-2447-4D9C-B92B-8A27B38D4DEF}" name="Tableau5" displayName="Tableau5" ref="N3:O5" totalsRowShown="0" headerRowDxfId="28" dataDxfId="27">
  <autoFilter ref="N3:O5" xr:uid="{9A191A39-2447-4D9C-B92B-8A27B38D4DEF}"/>
  <tableColumns count="2">
    <tableColumn id="1" xr3:uid="{C47C1247-0824-489C-BB66-3D94A2111EFF}" name="SECTION NAME" dataDxfId="26"/>
    <tableColumn id="2" xr3:uid="{97A9C7CA-C9C8-44A4-9F58-BACA83F92F9C}" name="PERCENTAGE" dataDxfId="25">
      <calculatedColumnFormula>COUNTIF($F$3:$F$990, "*"&amp;N4&amp;"*") / COUNTA($F$3:$F$990)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C97651-5A7C-4D09-B4C8-D7364A79A5DE}" name="Tableau6" displayName="Tableau6" ref="P3:Q6" totalsRowShown="0" headerRowDxfId="24" dataDxfId="23">
  <autoFilter ref="P3:Q6" xr:uid="{63C97651-5A7C-4D09-B4C8-D7364A79A5DE}"/>
  <tableColumns count="2">
    <tableColumn id="1" xr3:uid="{92164D59-1F15-44C9-9CC9-0B27D7335273}" name="POSITION " dataDxfId="22"/>
    <tableColumn id="2" xr3:uid="{81E2007E-7A8E-421D-8FF6-AC6FCE5EB08C}" name="PERCENTAGE" dataDxfId="21">
      <calculatedColumnFormula>COUNTIF($G$3:$G$990, P4) / COUNTA($G$3:$G$990)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E739F10-F22A-45A7-9B5A-FDD44CA0099A}" name="Tableau7" displayName="Tableau7" ref="R3:S7" totalsRowShown="0" headerRowDxfId="20" dataDxfId="19">
  <autoFilter ref="R3:S7" xr:uid="{2E739F10-F22A-45A7-9B5A-FDD44CA0099A}"/>
  <tableColumns count="2">
    <tableColumn id="1" xr3:uid="{6DA473E4-9A16-4806-BF69-47BE60D2E3FC}" name="SECTION NAME" dataDxfId="18"/>
    <tableColumn id="2" xr3:uid="{EFF00BEA-E796-4179-878D-5A0A4EDC46F4}" name="PERCENTAGE" dataDxfId="17">
      <calculatedColumnFormula>COUNTIF($J$3:$J$990, "*"&amp;R4&amp;"*") / COUNTA($J$3:$J$990)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373C2D1-03CB-429C-ADC3-180D0559D697}" name="Tableau8" displayName="Tableau8" ref="T3:U6" totalsRowShown="0" headerRowDxfId="16" dataDxfId="15">
  <autoFilter ref="T3:U6" xr:uid="{1373C2D1-03CB-429C-ADC3-180D0559D697}"/>
  <tableColumns count="2">
    <tableColumn id="1" xr3:uid="{C8578010-18B3-4F41-B70E-6A86A41D3704}" name="POSITION " dataDxfId="14"/>
    <tableColumn id="2" xr3:uid="{971B0D45-23E4-434E-AD65-938BE3B8DEF3}" name="PERCENTAGE" dataDxfId="13">
      <calculatedColumnFormula>COUNTIF($K$3:$K$990, T4) / COUNTA($K$3:$K$990)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299AB-5EDE-481A-89DC-C77072896F99}" name="Tableau43" displayName="Tableau43" ref="A2:I110" totalsRowShown="0" headerRowDxfId="10" dataDxfId="9">
  <autoFilter ref="A2:I110" xr:uid="{49FA5250-08F9-4199-858D-701EAABCF8D7}"/>
  <tableColumns count="9">
    <tableColumn id="10" xr3:uid="{D3B8B558-F8BD-479A-B5D3-1B7DA80DCF5A}" name="CAMPAIGN NAME" dataDxfId="8"/>
    <tableColumn id="1" xr3:uid="{BA1D47C4-3CF3-4A4F-90B7-43C5321C54AC}" name="TRACKING" dataDxfId="7"/>
    <tableColumn id="12" xr3:uid="{585EB9B6-FFEA-4828-B5AE-019E97D7B846}" name="AUDIENCE" dataDxfId="6"/>
    <tableColumn id="4" xr3:uid="{94705B43-E54B-457B-91D6-C5041EEB4C69}" name="VISUAL  CLICK RATE" dataDxfId="5"/>
    <tableColumn id="5" xr3:uid="{D0965980-5765-40D2-89DD-CE998B6814E5}" name="CTA CLICK RATE" dataDxfId="4"/>
    <tableColumn id="6" xr3:uid="{352212C7-BBD9-4F5D-82C0-09EC64F05BC3}" name="INSERTION BLOC TYPE" dataDxfId="3"/>
    <tableColumn id="7" xr3:uid="{746648EF-6D1A-49C9-9C6D-B033A6BC7246}" name="VISUAL CLICK RATE" dataDxfId="2"/>
    <tableColumn id="2" xr3:uid="{6CCF3EEA-9CCC-4D10-A8EB-57ED41D68D9A}" name="CTA CLICK RATE2" dataDxfId="1"/>
    <tableColumn id="8" xr3:uid="{3C4B7F39-366B-4A6D-BD6D-936EE3D11E3C}" name="CLICK ALERTS" dataDxfId="0"/>
  </tableColumns>
  <tableStyleInfo name="TableStyleLight11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35F5F-0554-428F-BA75-9037A4B18FF4}">
  <sheetPr codeName="Feuil1"/>
  <dimension ref="A1:I92"/>
  <sheetViews>
    <sheetView topLeftCell="A69" zoomScaleNormal="100" workbookViewId="0">
      <selection activeCell="G75" sqref="G75:G92"/>
    </sheetView>
  </sheetViews>
  <sheetFormatPr defaultColWidth="10.85546875" defaultRowHeight="14.45"/>
  <cols>
    <col min="1" max="1" width="15.7109375" style="47" customWidth="1"/>
    <col min="2" max="2" width="18.85546875" style="11" bestFit="1" customWidth="1"/>
    <col min="3" max="3" width="10.140625" style="11" bestFit="1" customWidth="1"/>
    <col min="4" max="4" width="32.5703125" style="11" customWidth="1"/>
    <col min="5" max="5" width="9.85546875" style="11" bestFit="1" customWidth="1"/>
    <col min="6" max="6" width="12.85546875" style="11" bestFit="1" customWidth="1"/>
    <col min="7" max="7" width="90.42578125" style="11" bestFit="1" customWidth="1"/>
    <col min="8" max="8" width="17.5703125" style="11" bestFit="1" customWidth="1"/>
    <col min="9" max="9" width="12.42578125" style="11" bestFit="1" customWidth="1"/>
    <col min="10" max="16384" width="10.85546875" style="11"/>
  </cols>
  <sheetData>
    <row r="1" spans="1:9" s="9" customFormat="1" ht="15" thickBot="1">
      <c r="A1" s="4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  <c r="H1" s="19" t="s">
        <v>7</v>
      </c>
      <c r="I1" s="21" t="s">
        <v>8</v>
      </c>
    </row>
    <row r="2" spans="1:9">
      <c r="A2" s="45" cm="1">
        <f t="array" ref="A2">DATE(LEFT(INDEX(_xlfn.TEXTSPLIT($G2,"_"),1),4),MID(INDEX(_xlfn.TEXTSPLIT($G2,"_"),1),5,2),RIGHT(INDEX(_xlfn.TEXTSPLIT($G2,"_"),1),2))</f>
        <v>45966</v>
      </c>
      <c r="B2" s="22">
        <f ca="1">TODAY()-A2</f>
        <v>112</v>
      </c>
      <c r="C2" s="22" t="s">
        <v>9</v>
      </c>
      <c r="D2" s="11" t="s">
        <v>10</v>
      </c>
      <c r="E2" s="11" t="s">
        <v>11</v>
      </c>
      <c r="F2" s="11" t="s">
        <v>12</v>
      </c>
      <c r="G2" s="11" t="s">
        <v>13</v>
      </c>
      <c r="H2" s="11" t="s">
        <v>14</v>
      </c>
    </row>
    <row r="3" spans="1:9">
      <c r="A3" s="45" cm="1">
        <f t="array" ref="A3">DATE(LEFT(INDEX(_xlfn.TEXTSPLIT($G3,"_"),1),4),MID(INDEX(_xlfn.TEXTSPLIT($G3,"_"),1),5,2),RIGHT(INDEX(_xlfn.TEXTSPLIT($G3,"_"),1),2))</f>
        <v>45966</v>
      </c>
      <c r="B3" s="22">
        <f t="shared" ref="B3:B49" ca="1" si="0">TODAY()-A3</f>
        <v>112</v>
      </c>
      <c r="C3" s="22" t="s">
        <v>9</v>
      </c>
      <c r="D3" s="11" t="s">
        <v>10</v>
      </c>
      <c r="E3" s="11" t="s">
        <v>11</v>
      </c>
      <c r="F3" s="11" t="s">
        <v>15</v>
      </c>
      <c r="G3" s="11" t="s">
        <v>16</v>
      </c>
      <c r="H3" s="11" t="s">
        <v>14</v>
      </c>
      <c r="I3" s="11" t="s">
        <v>17</v>
      </c>
    </row>
    <row r="4" spans="1:9">
      <c r="A4" s="45" cm="1">
        <f t="array" ref="A4">DATE(LEFT(INDEX(_xlfn.TEXTSPLIT($G4,"_"),1),4),MID(INDEX(_xlfn.TEXTSPLIT($G4,"_"),1),5,2),RIGHT(INDEX(_xlfn.TEXTSPLIT($G4,"_"),1),2))</f>
        <v>45966</v>
      </c>
      <c r="B4" s="22">
        <f t="shared" ca="1" si="0"/>
        <v>112</v>
      </c>
      <c r="C4" s="22" t="s">
        <v>9</v>
      </c>
      <c r="D4" s="11" t="s">
        <v>10</v>
      </c>
      <c r="E4" s="11" t="s">
        <v>11</v>
      </c>
      <c r="F4" s="11" t="s">
        <v>12</v>
      </c>
      <c r="G4" s="11" t="s">
        <v>18</v>
      </c>
      <c r="H4" s="11" t="s">
        <v>14</v>
      </c>
    </row>
    <row r="5" spans="1:9">
      <c r="A5" s="45" cm="1">
        <f t="array" ref="A5">DATE(LEFT(INDEX(_xlfn.TEXTSPLIT($G5,"_"),1),4),MID(INDEX(_xlfn.TEXTSPLIT($G5,"_"),1),5,2),RIGHT(INDEX(_xlfn.TEXTSPLIT($G5,"_"),1),2))</f>
        <v>45966</v>
      </c>
      <c r="B5" s="22">
        <f t="shared" ca="1" si="0"/>
        <v>112</v>
      </c>
      <c r="C5" s="22" t="s">
        <v>19</v>
      </c>
      <c r="D5" s="11" t="s">
        <v>10</v>
      </c>
      <c r="E5" s="11" t="s">
        <v>11</v>
      </c>
      <c r="F5" s="11" t="s">
        <v>15</v>
      </c>
      <c r="G5" s="11" t="s">
        <v>20</v>
      </c>
      <c r="H5" s="11" t="s">
        <v>14</v>
      </c>
    </row>
    <row r="6" spans="1:9">
      <c r="A6" s="45" cm="1">
        <f t="array" ref="A6">DATE(LEFT(INDEX(_xlfn.TEXTSPLIT($G6,"_"),1),4),MID(INDEX(_xlfn.TEXTSPLIT($G6,"_"),1),5,2),RIGHT(INDEX(_xlfn.TEXTSPLIT($G6,"_"),1),2))</f>
        <v>45966</v>
      </c>
      <c r="B6" s="22">
        <f t="shared" ca="1" si="0"/>
        <v>112</v>
      </c>
      <c r="C6" s="22" t="s">
        <v>19</v>
      </c>
      <c r="D6" s="11" t="s">
        <v>10</v>
      </c>
      <c r="E6" s="11" t="s">
        <v>11</v>
      </c>
      <c r="F6" s="11" t="s">
        <v>15</v>
      </c>
      <c r="G6" s="11" t="s">
        <v>21</v>
      </c>
      <c r="H6" s="11" t="s">
        <v>14</v>
      </c>
    </row>
    <row r="7" spans="1:9">
      <c r="A7" s="45" cm="1">
        <f t="array" ref="A7">DATE(LEFT(INDEX(_xlfn.TEXTSPLIT($G7,"_"),1),4),MID(INDEX(_xlfn.TEXTSPLIT($G7,"_"),1),5,2),RIGHT(INDEX(_xlfn.TEXTSPLIT($G7,"_"),1),2))</f>
        <v>45966</v>
      </c>
      <c r="B7" s="22">
        <f t="shared" ca="1" si="0"/>
        <v>112</v>
      </c>
      <c r="C7" s="22" t="s">
        <v>22</v>
      </c>
      <c r="D7" s="11" t="s">
        <v>10</v>
      </c>
      <c r="E7" s="11" t="s">
        <v>11</v>
      </c>
      <c r="F7" s="11" t="s">
        <v>15</v>
      </c>
      <c r="G7" s="11" t="s">
        <v>23</v>
      </c>
      <c r="H7" s="11" t="s">
        <v>14</v>
      </c>
    </row>
    <row r="8" spans="1:9">
      <c r="A8" s="45" cm="1">
        <f t="array" ref="A8">DATE(LEFT(INDEX(_xlfn.TEXTSPLIT($G8,"_"),1),4),MID(INDEX(_xlfn.TEXTSPLIT($G8,"_"),1),5,2),RIGHT(INDEX(_xlfn.TEXTSPLIT($G8,"_"),1),2))</f>
        <v>45966</v>
      </c>
      <c r="B8" s="22">
        <f t="shared" ca="1" si="0"/>
        <v>112</v>
      </c>
      <c r="C8" s="22" t="s">
        <v>22</v>
      </c>
      <c r="D8" s="11" t="s">
        <v>10</v>
      </c>
      <c r="E8" s="11" t="s">
        <v>11</v>
      </c>
      <c r="F8" s="11" t="s">
        <v>15</v>
      </c>
      <c r="G8" s="11" t="s">
        <v>24</v>
      </c>
      <c r="H8" s="11" t="s">
        <v>14</v>
      </c>
    </row>
    <row r="9" spans="1:9">
      <c r="A9" s="45" cm="1">
        <f t="array" ref="A9">DATE(LEFT(INDEX(_xlfn.TEXTSPLIT($G9,"_"),1),4),MID(INDEX(_xlfn.TEXTSPLIT($G9,"_"),1),5,2),RIGHT(INDEX(_xlfn.TEXTSPLIT($G9,"_"),1),2))</f>
        <v>45966</v>
      </c>
      <c r="B9" s="22">
        <f t="shared" ca="1" si="0"/>
        <v>112</v>
      </c>
      <c r="C9" s="22" t="s">
        <v>25</v>
      </c>
      <c r="D9" s="11" t="s">
        <v>10</v>
      </c>
      <c r="E9" s="11" t="s">
        <v>11</v>
      </c>
      <c r="F9" s="11" t="s">
        <v>15</v>
      </c>
      <c r="G9" s="11" t="s">
        <v>26</v>
      </c>
      <c r="H9" s="11" t="s">
        <v>14</v>
      </c>
    </row>
    <row r="10" spans="1:9">
      <c r="A10" s="45" cm="1">
        <f t="array" ref="A10">DATE(LEFT(INDEX(_xlfn.TEXTSPLIT($G10,"_"),1),4),MID(INDEX(_xlfn.TEXTSPLIT($G10,"_"),1),5,2),RIGHT(INDEX(_xlfn.TEXTSPLIT($G10,"_"),1),2))</f>
        <v>45966</v>
      </c>
      <c r="B10" s="22">
        <f t="shared" ca="1" si="0"/>
        <v>112</v>
      </c>
      <c r="C10" s="22" t="s">
        <v>25</v>
      </c>
      <c r="D10" s="11" t="s">
        <v>10</v>
      </c>
      <c r="E10" s="11" t="s">
        <v>11</v>
      </c>
      <c r="F10" s="11" t="s">
        <v>15</v>
      </c>
      <c r="G10" s="11" t="s">
        <v>27</v>
      </c>
      <c r="H10" s="11" t="s">
        <v>14</v>
      </c>
    </row>
    <row r="11" spans="1:9">
      <c r="A11" s="45" cm="1">
        <f t="array" ref="A11">DATE(LEFT(INDEX(_xlfn.TEXTSPLIT($G11,"_"),1),4),MID(INDEX(_xlfn.TEXTSPLIT($G11,"_"),1),5,2),RIGHT(INDEX(_xlfn.TEXTSPLIT($G11,"_"),1),2))</f>
        <v>45966</v>
      </c>
      <c r="B11" s="22">
        <f t="shared" ca="1" si="0"/>
        <v>112</v>
      </c>
      <c r="C11" s="22" t="s">
        <v>19</v>
      </c>
      <c r="D11" s="11" t="s">
        <v>10</v>
      </c>
      <c r="E11" s="11" t="s">
        <v>11</v>
      </c>
      <c r="F11" s="11" t="s">
        <v>12</v>
      </c>
      <c r="G11" s="11" t="s">
        <v>28</v>
      </c>
      <c r="H11" s="11" t="s">
        <v>14</v>
      </c>
    </row>
    <row r="12" spans="1:9">
      <c r="A12" s="45" cm="1">
        <f t="array" ref="A12">DATE(LEFT(INDEX(_xlfn.TEXTSPLIT($G12,"_"),1),4),MID(INDEX(_xlfn.TEXTSPLIT($G12,"_"),1),5,2),RIGHT(INDEX(_xlfn.TEXTSPLIT($G12,"_"),1),2))</f>
        <v>45966</v>
      </c>
      <c r="B12" s="22">
        <f t="shared" ca="1" si="0"/>
        <v>112</v>
      </c>
      <c r="C12" s="22" t="s">
        <v>19</v>
      </c>
      <c r="D12" s="11" t="s">
        <v>10</v>
      </c>
      <c r="E12" s="11" t="s">
        <v>11</v>
      </c>
      <c r="F12" s="11" t="s">
        <v>12</v>
      </c>
      <c r="G12" s="11" t="s">
        <v>29</v>
      </c>
      <c r="H12" s="11" t="s">
        <v>14</v>
      </c>
    </row>
    <row r="13" spans="1:9">
      <c r="A13" s="45" cm="1">
        <f t="array" ref="A13">DATE(LEFT(INDEX(_xlfn.TEXTSPLIT($G13,"_"),1),4),MID(INDEX(_xlfn.TEXTSPLIT($G13,"_"),1),5,2),RIGHT(INDEX(_xlfn.TEXTSPLIT($G13,"_"),1),2))</f>
        <v>45966</v>
      </c>
      <c r="B13" s="22">
        <f t="shared" ca="1" si="0"/>
        <v>112</v>
      </c>
      <c r="C13" s="22" t="s">
        <v>22</v>
      </c>
      <c r="D13" s="11" t="s">
        <v>10</v>
      </c>
      <c r="E13" s="11" t="s">
        <v>11</v>
      </c>
      <c r="F13" s="11" t="s">
        <v>12</v>
      </c>
      <c r="G13" s="11" t="s">
        <v>30</v>
      </c>
      <c r="H13" s="11" t="s">
        <v>14</v>
      </c>
    </row>
    <row r="14" spans="1:9">
      <c r="A14" s="45" cm="1">
        <f t="array" ref="A14">DATE(LEFT(INDEX(_xlfn.TEXTSPLIT($G14,"_"),1),4),MID(INDEX(_xlfn.TEXTSPLIT($G14,"_"),1),5,2),RIGHT(INDEX(_xlfn.TEXTSPLIT($G14,"_"),1),2))</f>
        <v>45966</v>
      </c>
      <c r="B14" s="22">
        <f t="shared" ca="1" si="0"/>
        <v>112</v>
      </c>
      <c r="C14" s="22" t="s">
        <v>22</v>
      </c>
      <c r="D14" s="11" t="s">
        <v>10</v>
      </c>
      <c r="E14" s="11" t="s">
        <v>11</v>
      </c>
      <c r="F14" s="11" t="s">
        <v>12</v>
      </c>
      <c r="G14" s="11" t="s">
        <v>31</v>
      </c>
      <c r="H14" s="11" t="s">
        <v>14</v>
      </c>
    </row>
    <row r="15" spans="1:9">
      <c r="A15" s="45" cm="1">
        <f t="array" ref="A15">DATE(LEFT(INDEX(_xlfn.TEXTSPLIT($G15,"_"),1),4),MID(INDEX(_xlfn.TEXTSPLIT($G15,"_"),1),5,2),RIGHT(INDEX(_xlfn.TEXTSPLIT($G15,"_"),1),2))</f>
        <v>45966</v>
      </c>
      <c r="B15" s="22">
        <f t="shared" ca="1" si="0"/>
        <v>112</v>
      </c>
      <c r="C15" s="22" t="s">
        <v>25</v>
      </c>
      <c r="D15" s="11" t="s">
        <v>10</v>
      </c>
      <c r="E15" s="11" t="s">
        <v>11</v>
      </c>
      <c r="F15" s="11" t="s">
        <v>12</v>
      </c>
      <c r="G15" s="11" t="s">
        <v>32</v>
      </c>
      <c r="H15" s="11" t="s">
        <v>14</v>
      </c>
    </row>
    <row r="16" spans="1:9">
      <c r="A16" s="45" cm="1">
        <f t="array" ref="A16">DATE(LEFT(INDEX(_xlfn.TEXTSPLIT($G16,"_"),1),4),MID(INDEX(_xlfn.TEXTSPLIT($G16,"_"),1),5,2),RIGHT(INDEX(_xlfn.TEXTSPLIT($G16,"_"),1),2))</f>
        <v>45966</v>
      </c>
      <c r="B16" s="22">
        <f t="shared" ca="1" si="0"/>
        <v>112</v>
      </c>
      <c r="C16" s="22" t="s">
        <v>25</v>
      </c>
      <c r="D16" s="11" t="s">
        <v>10</v>
      </c>
      <c r="E16" s="11" t="s">
        <v>11</v>
      </c>
      <c r="F16" s="11" t="s">
        <v>12</v>
      </c>
      <c r="G16" s="11" t="s">
        <v>33</v>
      </c>
      <c r="H16" s="11" t="s">
        <v>14</v>
      </c>
    </row>
    <row r="17" spans="1:8">
      <c r="A17" s="45" cm="1">
        <f t="array" ref="A17">DATE(LEFT(INDEX(_xlfn.TEXTSPLIT($G17,"_"),1),4),MID(INDEX(_xlfn.TEXTSPLIT($G17,"_"),1),5,2),RIGHT(INDEX(_xlfn.TEXTSPLIT($G17,"_"),1),2))</f>
        <v>45974</v>
      </c>
      <c r="B17" s="22">
        <f t="shared" ca="1" si="0"/>
        <v>104</v>
      </c>
      <c r="C17" s="22" t="s">
        <v>9</v>
      </c>
      <c r="D17" s="11" t="s">
        <v>10</v>
      </c>
      <c r="E17" s="11" t="s">
        <v>34</v>
      </c>
      <c r="F17" s="11" t="s">
        <v>15</v>
      </c>
      <c r="G17" s="11" t="s">
        <v>35</v>
      </c>
      <c r="H17" s="11" t="s">
        <v>14</v>
      </c>
    </row>
    <row r="18" spans="1:8">
      <c r="A18" s="45" cm="1">
        <f t="array" ref="A18">DATE(LEFT(INDEX(_xlfn.TEXTSPLIT($G18,"_"),1),4),MID(INDEX(_xlfn.TEXTSPLIT($G18,"_"),1),5,2),RIGHT(INDEX(_xlfn.TEXTSPLIT($G18,"_"),1),2))</f>
        <v>45974</v>
      </c>
      <c r="B18" s="22">
        <f t="shared" ca="1" si="0"/>
        <v>104</v>
      </c>
      <c r="C18" s="22" t="s">
        <v>19</v>
      </c>
      <c r="D18" s="11" t="s">
        <v>10</v>
      </c>
      <c r="E18" s="11" t="s">
        <v>34</v>
      </c>
      <c r="F18" s="11" t="s">
        <v>15</v>
      </c>
      <c r="G18" s="11" t="s">
        <v>36</v>
      </c>
      <c r="H18" s="11" t="s">
        <v>14</v>
      </c>
    </row>
    <row r="19" spans="1:8">
      <c r="A19" s="45" cm="1">
        <f t="array" ref="A19">DATE(LEFT(INDEX(_xlfn.TEXTSPLIT($G19,"_"),1),4),MID(INDEX(_xlfn.TEXTSPLIT($G19,"_"),1),5,2),RIGHT(INDEX(_xlfn.TEXTSPLIT($G19,"_"),1),2))</f>
        <v>45974</v>
      </c>
      <c r="B19" s="22">
        <f t="shared" ca="1" si="0"/>
        <v>104</v>
      </c>
      <c r="C19" s="22" t="s">
        <v>19</v>
      </c>
      <c r="D19" s="11" t="s">
        <v>10</v>
      </c>
      <c r="E19" s="11" t="s">
        <v>34</v>
      </c>
      <c r="F19" s="11" t="s">
        <v>15</v>
      </c>
      <c r="G19" s="11" t="s">
        <v>37</v>
      </c>
      <c r="H19" s="11" t="s">
        <v>38</v>
      </c>
    </row>
    <row r="20" spans="1:8">
      <c r="A20" s="45" cm="1">
        <f t="array" ref="A20">DATE(LEFT(INDEX(_xlfn.TEXTSPLIT($G20,"_"),1),4),MID(INDEX(_xlfn.TEXTSPLIT($G20,"_"),1),5,2),RIGHT(INDEX(_xlfn.TEXTSPLIT($G20,"_"),1),2))</f>
        <v>45974</v>
      </c>
      <c r="B20" s="22">
        <f t="shared" ca="1" si="0"/>
        <v>104</v>
      </c>
      <c r="C20" s="22" t="s">
        <v>22</v>
      </c>
      <c r="D20" s="11" t="s">
        <v>10</v>
      </c>
      <c r="E20" s="11" t="s">
        <v>34</v>
      </c>
      <c r="F20" s="11" t="s">
        <v>15</v>
      </c>
      <c r="G20" s="11" t="s">
        <v>39</v>
      </c>
      <c r="H20" s="11" t="s">
        <v>14</v>
      </c>
    </row>
    <row r="21" spans="1:8">
      <c r="A21" s="45" cm="1">
        <f t="array" ref="A21">DATE(LEFT(INDEX(_xlfn.TEXTSPLIT($G21,"_"),1),4),MID(INDEX(_xlfn.TEXTSPLIT($G21,"_"),1),5,2),RIGHT(INDEX(_xlfn.TEXTSPLIT($G21,"_"),1),2))</f>
        <v>45974</v>
      </c>
      <c r="B21" s="22">
        <f t="shared" ca="1" si="0"/>
        <v>104</v>
      </c>
      <c r="C21" s="22" t="s">
        <v>22</v>
      </c>
      <c r="D21" s="11" t="s">
        <v>10</v>
      </c>
      <c r="E21" s="11" t="s">
        <v>34</v>
      </c>
      <c r="F21" s="11" t="s">
        <v>15</v>
      </c>
      <c r="G21" s="11" t="s">
        <v>40</v>
      </c>
      <c r="H21" s="11" t="s">
        <v>38</v>
      </c>
    </row>
    <row r="22" spans="1:8">
      <c r="A22" s="45" cm="1">
        <f t="array" ref="A22">DATE(LEFT(INDEX(_xlfn.TEXTSPLIT($G22,"_"),1),4),MID(INDEX(_xlfn.TEXTSPLIT($G22,"_"),1),5,2),RIGHT(INDEX(_xlfn.TEXTSPLIT($G22,"_"),1),2))</f>
        <v>45974</v>
      </c>
      <c r="B22" s="22">
        <f t="shared" ca="1" si="0"/>
        <v>104</v>
      </c>
      <c r="C22" s="22" t="s">
        <v>25</v>
      </c>
      <c r="D22" s="11" t="s">
        <v>10</v>
      </c>
      <c r="E22" s="11" t="s">
        <v>34</v>
      </c>
      <c r="F22" s="11" t="s">
        <v>15</v>
      </c>
      <c r="G22" s="11" t="s">
        <v>41</v>
      </c>
      <c r="H22" s="11" t="s">
        <v>14</v>
      </c>
    </row>
    <row r="23" spans="1:8">
      <c r="A23" s="45" cm="1">
        <f t="array" ref="A23">DATE(LEFT(INDEX(_xlfn.TEXTSPLIT($G23,"_"),1),4),MID(INDEX(_xlfn.TEXTSPLIT($G23,"_"),1),5,2),RIGHT(INDEX(_xlfn.TEXTSPLIT($G23,"_"),1),2))</f>
        <v>45974</v>
      </c>
      <c r="B23" s="22">
        <f t="shared" ca="1" si="0"/>
        <v>104</v>
      </c>
      <c r="C23" s="22" t="s">
        <v>25</v>
      </c>
      <c r="D23" s="11" t="s">
        <v>10</v>
      </c>
      <c r="E23" s="11" t="s">
        <v>34</v>
      </c>
      <c r="F23" s="11" t="s">
        <v>15</v>
      </c>
      <c r="G23" s="11" t="s">
        <v>42</v>
      </c>
      <c r="H23" s="11" t="s">
        <v>38</v>
      </c>
    </row>
    <row r="24" spans="1:8">
      <c r="A24" s="45" cm="1">
        <f t="array" ref="A24">DATE(LEFT(INDEX(_xlfn.TEXTSPLIT($G24,"_"),1),4),MID(INDEX(_xlfn.TEXTSPLIT($G24,"_"),1),5,2),RIGHT(INDEX(_xlfn.TEXTSPLIT($G24,"_"),1),2))</f>
        <v>45974</v>
      </c>
      <c r="B24" s="22">
        <f t="shared" ca="1" si="0"/>
        <v>104</v>
      </c>
      <c r="C24" s="22" t="s">
        <v>9</v>
      </c>
      <c r="D24" s="11" t="s">
        <v>10</v>
      </c>
      <c r="E24" s="11" t="s">
        <v>34</v>
      </c>
      <c r="F24" s="11" t="s">
        <v>12</v>
      </c>
      <c r="G24" s="11" t="s">
        <v>43</v>
      </c>
      <c r="H24" s="11" t="s">
        <v>14</v>
      </c>
    </row>
    <row r="25" spans="1:8">
      <c r="A25" s="45" cm="1">
        <f t="array" ref="A25">DATE(LEFT(INDEX(_xlfn.TEXTSPLIT($G25,"_"),1),4),MID(INDEX(_xlfn.TEXTSPLIT($G25,"_"),1),5,2),RIGHT(INDEX(_xlfn.TEXTSPLIT($G25,"_"),1),2))</f>
        <v>45974</v>
      </c>
      <c r="B25" s="22">
        <f t="shared" ca="1" si="0"/>
        <v>104</v>
      </c>
      <c r="C25" s="22" t="s">
        <v>19</v>
      </c>
      <c r="D25" s="11" t="s">
        <v>44</v>
      </c>
      <c r="E25" s="11" t="s">
        <v>34</v>
      </c>
      <c r="F25" s="11" t="s">
        <v>12</v>
      </c>
      <c r="G25" s="11" t="s">
        <v>45</v>
      </c>
      <c r="H25" s="11" t="s">
        <v>38</v>
      </c>
    </row>
    <row r="26" spans="1:8">
      <c r="A26" s="45" cm="1">
        <f t="array" ref="A26">DATE(LEFT(INDEX(_xlfn.TEXTSPLIT($G26,"_"),1),4),MID(INDEX(_xlfn.TEXTSPLIT($G26,"_"),1),5,2),RIGHT(INDEX(_xlfn.TEXTSPLIT($G26,"_"),1),2))</f>
        <v>45974</v>
      </c>
      <c r="B26" s="22">
        <f t="shared" ca="1" si="0"/>
        <v>104</v>
      </c>
      <c r="C26" s="22" t="s">
        <v>19</v>
      </c>
      <c r="D26" s="11" t="s">
        <v>46</v>
      </c>
      <c r="E26" s="11" t="s">
        <v>34</v>
      </c>
      <c r="F26" s="11" t="s">
        <v>12</v>
      </c>
      <c r="G26" s="11" t="s">
        <v>47</v>
      </c>
      <c r="H26" s="11" t="s">
        <v>38</v>
      </c>
    </row>
    <row r="27" spans="1:8">
      <c r="A27" s="45" cm="1">
        <f t="array" ref="A27">DATE(LEFT(INDEX(_xlfn.TEXTSPLIT($G27,"_"),1),4),MID(INDEX(_xlfn.TEXTSPLIT($G27,"_"),1),5,2),RIGHT(INDEX(_xlfn.TEXTSPLIT($G27,"_"),1),2))</f>
        <v>45974</v>
      </c>
      <c r="B27" s="22">
        <f t="shared" ca="1" si="0"/>
        <v>104</v>
      </c>
      <c r="C27" s="22" t="s">
        <v>22</v>
      </c>
      <c r="D27" s="11" t="s">
        <v>48</v>
      </c>
      <c r="E27" s="11" t="s">
        <v>34</v>
      </c>
      <c r="F27" s="11" t="s">
        <v>12</v>
      </c>
      <c r="G27" s="11" t="s">
        <v>49</v>
      </c>
      <c r="H27" s="11" t="s">
        <v>38</v>
      </c>
    </row>
    <row r="28" spans="1:8">
      <c r="A28" s="45" cm="1">
        <f t="array" ref="A28">DATE(LEFT(INDEX(_xlfn.TEXTSPLIT($G28,"_"),1),4),MID(INDEX(_xlfn.TEXTSPLIT($G28,"_"),1),5,2),RIGHT(INDEX(_xlfn.TEXTSPLIT($G28,"_"),1),2))</f>
        <v>45974</v>
      </c>
      <c r="B28" s="22">
        <f t="shared" ca="1" si="0"/>
        <v>104</v>
      </c>
      <c r="C28" s="22" t="s">
        <v>22</v>
      </c>
      <c r="D28" s="11" t="s">
        <v>50</v>
      </c>
      <c r="E28" s="11" t="s">
        <v>34</v>
      </c>
      <c r="F28" s="11" t="s">
        <v>12</v>
      </c>
      <c r="G28" s="11" t="s">
        <v>51</v>
      </c>
      <c r="H28" s="11" t="s">
        <v>38</v>
      </c>
    </row>
    <row r="29" spans="1:8">
      <c r="A29" s="45" cm="1">
        <f t="array" ref="A29">DATE(LEFT(INDEX(_xlfn.TEXTSPLIT($G29,"_"),1),4),MID(INDEX(_xlfn.TEXTSPLIT($G29,"_"),1),5,2),RIGHT(INDEX(_xlfn.TEXTSPLIT($G29,"_"),1),2))</f>
        <v>45974</v>
      </c>
      <c r="B29" s="22">
        <f t="shared" ca="1" si="0"/>
        <v>104</v>
      </c>
      <c r="C29" s="22" t="s">
        <v>25</v>
      </c>
      <c r="D29" s="11" t="s">
        <v>52</v>
      </c>
      <c r="E29" s="11" t="s">
        <v>34</v>
      </c>
      <c r="F29" s="11" t="s">
        <v>12</v>
      </c>
      <c r="G29" s="11" t="s">
        <v>53</v>
      </c>
      <c r="H29" s="11" t="s">
        <v>38</v>
      </c>
    </row>
    <row r="30" spans="1:8">
      <c r="A30" s="45" cm="1">
        <f t="array" ref="A30">DATE(LEFT(INDEX(_xlfn.TEXTSPLIT($G30,"_"),1),4),MID(INDEX(_xlfn.TEXTSPLIT($G30,"_"),1),5,2),RIGHT(INDEX(_xlfn.TEXTSPLIT($G30,"_"),1),2))</f>
        <v>45974</v>
      </c>
      <c r="B30" s="22">
        <f t="shared" ca="1" si="0"/>
        <v>104</v>
      </c>
      <c r="C30" s="22" t="s">
        <v>25</v>
      </c>
      <c r="D30" s="11" t="s">
        <v>54</v>
      </c>
      <c r="E30" s="11" t="s">
        <v>34</v>
      </c>
      <c r="F30" s="11" t="s">
        <v>12</v>
      </c>
      <c r="G30" s="11" t="s">
        <v>55</v>
      </c>
      <c r="H30" s="11" t="s">
        <v>38</v>
      </c>
    </row>
    <row r="31" spans="1:8">
      <c r="A31" s="45" cm="1">
        <f t="array" ref="A31">DATE(LEFT(INDEX(_xlfn.TEXTSPLIT($G31,"_"),1),4),MID(INDEX(_xlfn.TEXTSPLIT($G31,"_"),1),5,2),RIGHT(INDEX(_xlfn.TEXTSPLIT($G31,"_"),1),2))</f>
        <v>45979</v>
      </c>
      <c r="B31" s="22">
        <f t="shared" ca="1" si="0"/>
        <v>99</v>
      </c>
      <c r="C31" s="22" t="s">
        <v>9</v>
      </c>
      <c r="D31" s="11" t="s">
        <v>56</v>
      </c>
      <c r="E31" s="11" t="s">
        <v>11</v>
      </c>
      <c r="F31" s="11" t="s">
        <v>15</v>
      </c>
      <c r="G31" s="18" t="s">
        <v>57</v>
      </c>
      <c r="H31" s="11" t="s">
        <v>14</v>
      </c>
    </row>
    <row r="32" spans="1:8">
      <c r="A32" s="45" cm="1">
        <f t="array" ref="A32">DATE(LEFT(INDEX(_xlfn.TEXTSPLIT($G32,"_"),1),4),MID(INDEX(_xlfn.TEXTSPLIT($G32,"_"),1),5,2),RIGHT(INDEX(_xlfn.TEXTSPLIT($G32,"_"),1),2))</f>
        <v>45979</v>
      </c>
      <c r="B32" s="22">
        <f t="shared" ca="1" si="0"/>
        <v>99</v>
      </c>
      <c r="C32" s="22" t="s">
        <v>9</v>
      </c>
      <c r="D32" s="11" t="s">
        <v>56</v>
      </c>
      <c r="E32" s="11" t="s">
        <v>11</v>
      </c>
      <c r="F32" s="11" t="s">
        <v>12</v>
      </c>
      <c r="G32" s="18" t="s">
        <v>58</v>
      </c>
      <c r="H32" s="11" t="s">
        <v>14</v>
      </c>
    </row>
    <row r="33" spans="1:8">
      <c r="A33" s="45" cm="1">
        <f t="array" ref="A33">DATE(LEFT(INDEX(_xlfn.TEXTSPLIT($G33,"_"),1),4),MID(INDEX(_xlfn.TEXTSPLIT($G33,"_"),1),5,2),RIGHT(INDEX(_xlfn.TEXTSPLIT($G33,"_"),1),2))</f>
        <v>45987</v>
      </c>
      <c r="B33" s="22">
        <f t="shared" ca="1" si="0"/>
        <v>91</v>
      </c>
      <c r="C33" s="22" t="s">
        <v>9</v>
      </c>
      <c r="D33" s="11" t="s">
        <v>59</v>
      </c>
      <c r="E33" s="11" t="s">
        <v>11</v>
      </c>
      <c r="F33" s="11" t="s">
        <v>15</v>
      </c>
      <c r="G33" s="18" t="s">
        <v>60</v>
      </c>
      <c r="H33" s="11" t="s">
        <v>14</v>
      </c>
    </row>
    <row r="34" spans="1:8">
      <c r="A34" s="45" cm="1">
        <f t="array" ref="A34">DATE(LEFT(INDEX(_xlfn.TEXTSPLIT($G34,"_"),1),4),MID(INDEX(_xlfn.TEXTSPLIT($G34,"_"),1),5,2),RIGHT(INDEX(_xlfn.TEXTSPLIT($G34,"_"),1),2))</f>
        <v>45987</v>
      </c>
      <c r="B34" s="22">
        <f t="shared" ca="1" si="0"/>
        <v>91</v>
      </c>
      <c r="C34" s="22" t="s">
        <v>9</v>
      </c>
      <c r="D34" s="11" t="s">
        <v>59</v>
      </c>
      <c r="E34" s="11" t="s">
        <v>11</v>
      </c>
      <c r="F34" s="11" t="s">
        <v>15</v>
      </c>
      <c r="G34" s="18" t="s">
        <v>61</v>
      </c>
      <c r="H34" s="11" t="s">
        <v>14</v>
      </c>
    </row>
    <row r="35" spans="1:8">
      <c r="A35" s="45" cm="1">
        <f t="array" ref="A35">DATE(LEFT(INDEX(_xlfn.TEXTSPLIT($G35,"_"),1),4),MID(INDEX(_xlfn.TEXTSPLIT($G35,"_"),1),5,2),RIGHT(INDEX(_xlfn.TEXTSPLIT($G35,"_"),1),2))</f>
        <v>45987</v>
      </c>
      <c r="B35" s="22">
        <f t="shared" ca="1" si="0"/>
        <v>91</v>
      </c>
      <c r="C35" s="22" t="s">
        <v>9</v>
      </c>
      <c r="D35" s="11" t="s">
        <v>59</v>
      </c>
      <c r="E35" s="11" t="s">
        <v>11</v>
      </c>
      <c r="F35" s="11" t="s">
        <v>12</v>
      </c>
      <c r="G35" s="18" t="s">
        <v>62</v>
      </c>
      <c r="H35" s="11" t="s">
        <v>14</v>
      </c>
    </row>
    <row r="36" spans="1:8">
      <c r="A36" s="45" cm="1">
        <f t="array" ref="A36">DATE(LEFT(INDEX(_xlfn.TEXTSPLIT($G36,"_"),1),4),MID(INDEX(_xlfn.TEXTSPLIT($G36,"_"),1),5,2),RIGHT(INDEX(_xlfn.TEXTSPLIT($G36,"_"),1),2))</f>
        <v>45987</v>
      </c>
      <c r="B36" s="22">
        <f t="shared" ca="1" si="0"/>
        <v>91</v>
      </c>
      <c r="C36" s="22" t="s">
        <v>19</v>
      </c>
      <c r="D36" s="11" t="s">
        <v>59</v>
      </c>
      <c r="E36" s="11" t="s">
        <v>11</v>
      </c>
      <c r="F36" s="11" t="s">
        <v>12</v>
      </c>
      <c r="G36" s="18" t="s">
        <v>63</v>
      </c>
      <c r="H36" s="11" t="s">
        <v>14</v>
      </c>
    </row>
    <row r="37" spans="1:8">
      <c r="A37" s="45" cm="1">
        <f t="array" ref="A37">DATE(LEFT(INDEX(_xlfn.TEXTSPLIT($G37,"_"),1),4),MID(INDEX(_xlfn.TEXTSPLIT($G37,"_"),1),5,2),RIGHT(INDEX(_xlfn.TEXTSPLIT($G37,"_"),1),2))</f>
        <v>45987</v>
      </c>
      <c r="B37" s="22">
        <f t="shared" ca="1" si="0"/>
        <v>91</v>
      </c>
      <c r="C37" s="22" t="s">
        <v>19</v>
      </c>
      <c r="D37" s="11" t="s">
        <v>59</v>
      </c>
      <c r="E37" s="11" t="s">
        <v>11</v>
      </c>
      <c r="F37" s="11" t="s">
        <v>12</v>
      </c>
      <c r="G37" s="18" t="s">
        <v>64</v>
      </c>
      <c r="H37" s="11" t="s">
        <v>14</v>
      </c>
    </row>
    <row r="38" spans="1:8">
      <c r="A38" s="45" cm="1">
        <f t="array" ref="A38">DATE(LEFT(INDEX(_xlfn.TEXTSPLIT($G38,"_"),1),4),MID(INDEX(_xlfn.TEXTSPLIT($G38,"_"),1),5,2),RIGHT(INDEX(_xlfn.TEXTSPLIT($G38,"_"),1),2))</f>
        <v>45987</v>
      </c>
      <c r="B38" s="22">
        <f t="shared" ca="1" si="0"/>
        <v>91</v>
      </c>
      <c r="C38" s="22" t="s">
        <v>19</v>
      </c>
      <c r="D38" s="11" t="s">
        <v>59</v>
      </c>
      <c r="E38" s="11" t="s">
        <v>11</v>
      </c>
      <c r="F38" s="11" t="s">
        <v>12</v>
      </c>
      <c r="G38" s="18" t="s">
        <v>65</v>
      </c>
      <c r="H38" s="11" t="s">
        <v>14</v>
      </c>
    </row>
    <row r="39" spans="1:8">
      <c r="A39" s="45" cm="1">
        <f t="array" ref="A39">DATE(LEFT(INDEX(_xlfn.TEXTSPLIT($G39,"_"),1),4),MID(INDEX(_xlfn.TEXTSPLIT($G39,"_"),1),5,2),RIGHT(INDEX(_xlfn.TEXTSPLIT($G39,"_"),1),2))</f>
        <v>45987</v>
      </c>
      <c r="B39" s="22">
        <f t="shared" ca="1" si="0"/>
        <v>91</v>
      </c>
      <c r="C39" s="22" t="s">
        <v>22</v>
      </c>
      <c r="D39" s="11" t="s">
        <v>59</v>
      </c>
      <c r="E39" s="11" t="s">
        <v>11</v>
      </c>
      <c r="F39" s="11" t="s">
        <v>12</v>
      </c>
      <c r="G39" s="18" t="s">
        <v>66</v>
      </c>
      <c r="H39" s="11" t="s">
        <v>14</v>
      </c>
    </row>
    <row r="40" spans="1:8">
      <c r="A40" s="45" cm="1">
        <f t="array" ref="A40">DATE(LEFT(INDEX(_xlfn.TEXTSPLIT($G40,"_"),1),4),MID(INDEX(_xlfn.TEXTSPLIT($G40,"_"),1),5,2),RIGHT(INDEX(_xlfn.TEXTSPLIT($G40,"_"),1),2))</f>
        <v>45987</v>
      </c>
      <c r="B40" s="22">
        <f t="shared" ca="1" si="0"/>
        <v>91</v>
      </c>
      <c r="C40" s="22" t="s">
        <v>22</v>
      </c>
      <c r="D40" s="11" t="s">
        <v>59</v>
      </c>
      <c r="E40" s="11" t="s">
        <v>11</v>
      </c>
      <c r="F40" s="11" t="s">
        <v>12</v>
      </c>
      <c r="G40" s="18" t="s">
        <v>67</v>
      </c>
      <c r="H40" s="11" t="s">
        <v>14</v>
      </c>
    </row>
    <row r="41" spans="1:8">
      <c r="A41" s="45" cm="1">
        <f t="array" ref="A41">DATE(LEFT(INDEX(_xlfn.TEXTSPLIT($G41,"_"),1),4),MID(INDEX(_xlfn.TEXTSPLIT($G41,"_"),1),5,2),RIGHT(INDEX(_xlfn.TEXTSPLIT($G41,"_"),1),2))</f>
        <v>45987</v>
      </c>
      <c r="B41" s="22">
        <f t="shared" ca="1" si="0"/>
        <v>91</v>
      </c>
      <c r="C41" s="22" t="s">
        <v>22</v>
      </c>
      <c r="D41" s="11" t="s">
        <v>59</v>
      </c>
      <c r="E41" s="11" t="s">
        <v>11</v>
      </c>
      <c r="F41" s="11" t="s">
        <v>12</v>
      </c>
      <c r="G41" s="18" t="s">
        <v>68</v>
      </c>
      <c r="H41" s="11" t="s">
        <v>14</v>
      </c>
    </row>
    <row r="42" spans="1:8">
      <c r="A42" s="45">
        <v>45992</v>
      </c>
      <c r="B42" s="22">
        <f t="shared" ca="1" si="0"/>
        <v>86</v>
      </c>
      <c r="C42" s="22" t="s">
        <v>9</v>
      </c>
      <c r="D42" s="11" t="s">
        <v>59</v>
      </c>
      <c r="E42" s="11" t="s">
        <v>34</v>
      </c>
      <c r="F42" s="11" t="s">
        <v>15</v>
      </c>
      <c r="G42" s="23" t="s">
        <v>69</v>
      </c>
      <c r="H42" s="11" t="s">
        <v>14</v>
      </c>
    </row>
    <row r="43" spans="1:8">
      <c r="A43" s="45">
        <v>45992</v>
      </c>
      <c r="B43" s="22">
        <f t="shared" ca="1" si="0"/>
        <v>86</v>
      </c>
      <c r="C43" s="22" t="s">
        <v>9</v>
      </c>
      <c r="D43" s="11" t="s">
        <v>59</v>
      </c>
      <c r="E43" s="11" t="s">
        <v>34</v>
      </c>
      <c r="F43" s="11" t="s">
        <v>12</v>
      </c>
      <c r="G43" s="23" t="s">
        <v>70</v>
      </c>
      <c r="H43" s="11" t="s">
        <v>14</v>
      </c>
    </row>
    <row r="44" spans="1:8">
      <c r="A44" s="45">
        <v>45992</v>
      </c>
      <c r="B44" s="22">
        <f t="shared" ca="1" si="0"/>
        <v>86</v>
      </c>
      <c r="C44" s="22" t="s">
        <v>19</v>
      </c>
      <c r="D44" s="11" t="s">
        <v>59</v>
      </c>
      <c r="E44" s="11" t="s">
        <v>34</v>
      </c>
      <c r="F44" s="11" t="s">
        <v>12</v>
      </c>
      <c r="G44" s="23" t="s">
        <v>71</v>
      </c>
      <c r="H44" s="11" t="s">
        <v>14</v>
      </c>
    </row>
    <row r="45" spans="1:8">
      <c r="A45" s="45">
        <v>45992</v>
      </c>
      <c r="B45" s="22">
        <f t="shared" ca="1" si="0"/>
        <v>86</v>
      </c>
      <c r="C45" s="22" t="s">
        <v>19</v>
      </c>
      <c r="D45" s="11" t="s">
        <v>59</v>
      </c>
      <c r="E45" s="11" t="s">
        <v>34</v>
      </c>
      <c r="F45" s="11" t="s">
        <v>12</v>
      </c>
      <c r="G45" s="23" t="s">
        <v>72</v>
      </c>
      <c r="H45" s="11" t="s">
        <v>14</v>
      </c>
    </row>
    <row r="46" spans="1:8">
      <c r="A46" s="45">
        <v>45992</v>
      </c>
      <c r="B46" s="22">
        <f t="shared" ca="1" si="0"/>
        <v>86</v>
      </c>
      <c r="C46" s="22" t="s">
        <v>19</v>
      </c>
      <c r="D46" s="11" t="s">
        <v>59</v>
      </c>
      <c r="E46" s="11" t="s">
        <v>34</v>
      </c>
      <c r="F46" s="11" t="s">
        <v>12</v>
      </c>
      <c r="G46" s="23" t="s">
        <v>73</v>
      </c>
      <c r="H46" s="11" t="s">
        <v>14</v>
      </c>
    </row>
    <row r="47" spans="1:8">
      <c r="A47" s="45">
        <v>45992</v>
      </c>
      <c r="B47" s="22">
        <f t="shared" ca="1" si="0"/>
        <v>86</v>
      </c>
      <c r="C47" s="22" t="s">
        <v>22</v>
      </c>
      <c r="D47" s="11" t="s">
        <v>59</v>
      </c>
      <c r="E47" s="11" t="s">
        <v>34</v>
      </c>
      <c r="F47" s="11" t="s">
        <v>12</v>
      </c>
      <c r="G47" s="23" t="s">
        <v>74</v>
      </c>
      <c r="H47" s="11" t="s">
        <v>14</v>
      </c>
    </row>
    <row r="48" spans="1:8">
      <c r="A48" s="45">
        <v>45992</v>
      </c>
      <c r="B48" s="22">
        <f t="shared" ca="1" si="0"/>
        <v>86</v>
      </c>
      <c r="C48" s="22" t="s">
        <v>22</v>
      </c>
      <c r="D48" s="11" t="s">
        <v>59</v>
      </c>
      <c r="E48" s="11" t="s">
        <v>34</v>
      </c>
      <c r="F48" s="11" t="s">
        <v>12</v>
      </c>
      <c r="G48" s="23" t="s">
        <v>75</v>
      </c>
      <c r="H48" s="11" t="s">
        <v>14</v>
      </c>
    </row>
    <row r="49" spans="1:8">
      <c r="A49" s="45">
        <v>45992</v>
      </c>
      <c r="B49" s="22">
        <f t="shared" ca="1" si="0"/>
        <v>86</v>
      </c>
      <c r="C49" s="22" t="s">
        <v>22</v>
      </c>
      <c r="D49" s="11" t="s">
        <v>59</v>
      </c>
      <c r="E49" s="11" t="s">
        <v>34</v>
      </c>
      <c r="F49" s="11" t="s">
        <v>12</v>
      </c>
      <c r="G49" s="23" t="s">
        <v>76</v>
      </c>
      <c r="H49" s="11" t="s">
        <v>14</v>
      </c>
    </row>
    <row r="50" spans="1:8">
      <c r="A50" s="46">
        <v>46002</v>
      </c>
      <c r="B50" s="22">
        <f t="shared" ref="B50:B76" ca="1" si="1">TODAY()-A50</f>
        <v>76</v>
      </c>
      <c r="C50" t="s">
        <v>9</v>
      </c>
      <c r="D50" s="11" t="s">
        <v>77</v>
      </c>
      <c r="E50" s="11" t="s">
        <v>11</v>
      </c>
      <c r="F50" s="11" t="s">
        <v>12</v>
      </c>
      <c r="G50" s="38" t="s">
        <v>78</v>
      </c>
      <c r="H50" s="11" t="s">
        <v>14</v>
      </c>
    </row>
    <row r="51" spans="1:8">
      <c r="A51" s="46">
        <v>46002</v>
      </c>
      <c r="B51" s="22">
        <f t="shared" ca="1" si="1"/>
        <v>76</v>
      </c>
      <c r="C51" s="22" t="s">
        <v>79</v>
      </c>
      <c r="D51" s="11" t="s">
        <v>77</v>
      </c>
      <c r="E51" s="11" t="s">
        <v>11</v>
      </c>
      <c r="F51" s="11" t="s">
        <v>12</v>
      </c>
      <c r="G51" s="38" t="s">
        <v>80</v>
      </c>
      <c r="H51" s="11" t="s">
        <v>14</v>
      </c>
    </row>
    <row r="52" spans="1:8">
      <c r="A52" s="46">
        <v>46002</v>
      </c>
      <c r="B52" s="22">
        <f t="shared" ca="1" si="1"/>
        <v>76</v>
      </c>
      <c r="C52" s="22" t="s">
        <v>79</v>
      </c>
      <c r="D52" s="11" t="s">
        <v>77</v>
      </c>
      <c r="E52" s="11" t="s">
        <v>11</v>
      </c>
      <c r="F52" s="11" t="s">
        <v>12</v>
      </c>
      <c r="G52" s="38" t="s">
        <v>81</v>
      </c>
      <c r="H52" s="11" t="s">
        <v>14</v>
      </c>
    </row>
    <row r="53" spans="1:8">
      <c r="A53" s="46">
        <v>46002</v>
      </c>
      <c r="B53" s="22">
        <f t="shared" ca="1" si="1"/>
        <v>76</v>
      </c>
      <c r="C53" s="22" t="s">
        <v>19</v>
      </c>
      <c r="D53" s="11" t="s">
        <v>77</v>
      </c>
      <c r="E53" s="11" t="s">
        <v>11</v>
      </c>
      <c r="F53" s="11" t="s">
        <v>12</v>
      </c>
      <c r="G53" s="38" t="s">
        <v>82</v>
      </c>
      <c r="H53" s="11" t="s">
        <v>14</v>
      </c>
    </row>
    <row r="54" spans="1:8">
      <c r="A54" s="46">
        <v>46002</v>
      </c>
      <c r="B54" s="22">
        <f t="shared" ca="1" si="1"/>
        <v>76</v>
      </c>
      <c r="C54" s="22" t="s">
        <v>19</v>
      </c>
      <c r="D54" s="11" t="s">
        <v>77</v>
      </c>
      <c r="E54" s="11" t="s">
        <v>11</v>
      </c>
      <c r="F54" s="11" t="s">
        <v>12</v>
      </c>
      <c r="G54" s="38" t="s">
        <v>83</v>
      </c>
      <c r="H54" s="11" t="s">
        <v>14</v>
      </c>
    </row>
    <row r="55" spans="1:8">
      <c r="A55" s="46">
        <v>46002</v>
      </c>
      <c r="B55" s="22">
        <f t="shared" ca="1" si="1"/>
        <v>76</v>
      </c>
      <c r="C55" s="22" t="s">
        <v>84</v>
      </c>
      <c r="D55" s="11" t="s">
        <v>77</v>
      </c>
      <c r="E55" s="11" t="s">
        <v>11</v>
      </c>
      <c r="F55" s="11" t="s">
        <v>12</v>
      </c>
      <c r="G55" s="38" t="s">
        <v>85</v>
      </c>
      <c r="H55" s="11" t="s">
        <v>14</v>
      </c>
    </row>
    <row r="56" spans="1:8">
      <c r="A56" s="46">
        <v>46002</v>
      </c>
      <c r="B56" s="22">
        <f t="shared" ca="1" si="1"/>
        <v>76</v>
      </c>
      <c r="C56" s="22" t="s">
        <v>84</v>
      </c>
      <c r="D56" s="11" t="s">
        <v>77</v>
      </c>
      <c r="E56" s="11" t="s">
        <v>11</v>
      </c>
      <c r="F56" s="11" t="s">
        <v>12</v>
      </c>
      <c r="G56" s="38" t="s">
        <v>86</v>
      </c>
      <c r="H56" s="11" t="s">
        <v>14</v>
      </c>
    </row>
    <row r="57" spans="1:8">
      <c r="A57" s="46">
        <v>46002</v>
      </c>
      <c r="B57" s="22">
        <f t="shared" ca="1" si="1"/>
        <v>76</v>
      </c>
      <c r="C57" s="22" t="s">
        <v>22</v>
      </c>
      <c r="D57" s="11" t="s">
        <v>77</v>
      </c>
      <c r="E57" s="11" t="s">
        <v>11</v>
      </c>
      <c r="F57" s="11" t="s">
        <v>12</v>
      </c>
      <c r="G57" s="38" t="s">
        <v>87</v>
      </c>
      <c r="H57" s="11" t="s">
        <v>14</v>
      </c>
    </row>
    <row r="58" spans="1:8">
      <c r="A58" s="46">
        <v>46002</v>
      </c>
      <c r="B58" s="22">
        <f t="shared" ca="1" si="1"/>
        <v>76</v>
      </c>
      <c r="C58" s="22" t="s">
        <v>22</v>
      </c>
      <c r="D58" s="11" t="s">
        <v>77</v>
      </c>
      <c r="E58" s="11" t="s">
        <v>11</v>
      </c>
      <c r="F58" s="11" t="s">
        <v>12</v>
      </c>
      <c r="G58" s="38" t="s">
        <v>88</v>
      </c>
      <c r="H58" s="11" t="s">
        <v>14</v>
      </c>
    </row>
    <row r="59" spans="1:8">
      <c r="A59" s="46">
        <v>46002</v>
      </c>
      <c r="B59" s="22">
        <f t="shared" ca="1" si="1"/>
        <v>76</v>
      </c>
      <c r="C59" s="22" t="s">
        <v>25</v>
      </c>
      <c r="D59" s="11" t="s">
        <v>77</v>
      </c>
      <c r="E59" s="11" t="s">
        <v>11</v>
      </c>
      <c r="F59" s="11" t="s">
        <v>12</v>
      </c>
      <c r="G59" s="38" t="s">
        <v>89</v>
      </c>
      <c r="H59" s="11" t="s">
        <v>14</v>
      </c>
    </row>
    <row r="60" spans="1:8">
      <c r="A60" s="46">
        <v>46002</v>
      </c>
      <c r="B60" s="22">
        <f t="shared" ca="1" si="1"/>
        <v>76</v>
      </c>
      <c r="C60" s="22" t="s">
        <v>25</v>
      </c>
      <c r="D60" s="11" t="s">
        <v>77</v>
      </c>
      <c r="E60" s="11" t="s">
        <v>11</v>
      </c>
      <c r="F60" s="11" t="s">
        <v>12</v>
      </c>
      <c r="G60" s="38" t="s">
        <v>90</v>
      </c>
      <c r="H60" s="11" t="s">
        <v>14</v>
      </c>
    </row>
    <row r="61" spans="1:8">
      <c r="A61" s="46">
        <v>46005</v>
      </c>
      <c r="B61" s="22">
        <f t="shared" ca="1" si="1"/>
        <v>73</v>
      </c>
      <c r="C61" s="22" t="s">
        <v>9</v>
      </c>
      <c r="D61" s="11" t="s">
        <v>77</v>
      </c>
      <c r="E61" s="11" t="s">
        <v>34</v>
      </c>
      <c r="F61" s="11" t="s">
        <v>12</v>
      </c>
      <c r="G61" s="38" t="s">
        <v>91</v>
      </c>
      <c r="H61" s="11" t="s">
        <v>14</v>
      </c>
    </row>
    <row r="62" spans="1:8">
      <c r="A62" s="46">
        <v>46005</v>
      </c>
      <c r="B62" s="22">
        <f t="shared" ca="1" si="1"/>
        <v>73</v>
      </c>
      <c r="C62" s="22" t="s">
        <v>79</v>
      </c>
      <c r="D62" s="11" t="s">
        <v>77</v>
      </c>
      <c r="E62" s="11" t="s">
        <v>34</v>
      </c>
      <c r="F62" s="11" t="s">
        <v>12</v>
      </c>
      <c r="G62" s="38" t="s">
        <v>92</v>
      </c>
      <c r="H62" s="11" t="s">
        <v>14</v>
      </c>
    </row>
    <row r="63" spans="1:8">
      <c r="A63" s="46">
        <v>46005</v>
      </c>
      <c r="B63" s="22">
        <f t="shared" ca="1" si="1"/>
        <v>73</v>
      </c>
      <c r="C63" s="22" t="s">
        <v>79</v>
      </c>
      <c r="D63" s="11" t="s">
        <v>77</v>
      </c>
      <c r="E63" s="11" t="s">
        <v>34</v>
      </c>
      <c r="F63" s="11" t="s">
        <v>12</v>
      </c>
      <c r="G63" s="38" t="s">
        <v>93</v>
      </c>
      <c r="H63" s="11" t="s">
        <v>14</v>
      </c>
    </row>
    <row r="64" spans="1:8">
      <c r="A64" s="46">
        <v>46005</v>
      </c>
      <c r="B64" s="22">
        <f t="shared" ca="1" si="1"/>
        <v>73</v>
      </c>
      <c r="C64" s="22" t="s">
        <v>19</v>
      </c>
      <c r="D64" s="11" t="s">
        <v>77</v>
      </c>
      <c r="E64" s="11" t="s">
        <v>34</v>
      </c>
      <c r="F64" s="11" t="s">
        <v>12</v>
      </c>
      <c r="G64" s="38" t="s">
        <v>94</v>
      </c>
      <c r="H64" s="11" t="s">
        <v>14</v>
      </c>
    </row>
    <row r="65" spans="1:8">
      <c r="A65" s="46">
        <v>46005</v>
      </c>
      <c r="B65" s="22">
        <f t="shared" ca="1" si="1"/>
        <v>73</v>
      </c>
      <c r="C65" s="22" t="s">
        <v>19</v>
      </c>
      <c r="D65" s="11" t="s">
        <v>77</v>
      </c>
      <c r="E65" s="11" t="s">
        <v>34</v>
      </c>
      <c r="F65" s="11" t="s">
        <v>12</v>
      </c>
      <c r="G65" s="38" t="s">
        <v>95</v>
      </c>
      <c r="H65" s="11" t="s">
        <v>14</v>
      </c>
    </row>
    <row r="66" spans="1:8">
      <c r="A66" s="46">
        <v>46005</v>
      </c>
      <c r="B66" s="22">
        <f t="shared" ca="1" si="1"/>
        <v>73</v>
      </c>
      <c r="C66" s="22" t="s">
        <v>84</v>
      </c>
      <c r="D66" s="11" t="s">
        <v>77</v>
      </c>
      <c r="E66" s="11" t="s">
        <v>34</v>
      </c>
      <c r="F66" s="11" t="s">
        <v>12</v>
      </c>
      <c r="G66" s="38" t="s">
        <v>96</v>
      </c>
      <c r="H66" s="11" t="s">
        <v>14</v>
      </c>
    </row>
    <row r="67" spans="1:8">
      <c r="A67" s="46">
        <v>46005</v>
      </c>
      <c r="B67" s="22">
        <f t="shared" ca="1" si="1"/>
        <v>73</v>
      </c>
      <c r="C67" s="22" t="s">
        <v>84</v>
      </c>
      <c r="D67" s="11" t="s">
        <v>77</v>
      </c>
      <c r="E67" s="11" t="s">
        <v>34</v>
      </c>
      <c r="F67" s="11" t="s">
        <v>12</v>
      </c>
      <c r="G67" s="38" t="s">
        <v>97</v>
      </c>
      <c r="H67" s="11" t="s">
        <v>14</v>
      </c>
    </row>
    <row r="68" spans="1:8">
      <c r="A68" s="46">
        <v>46005</v>
      </c>
      <c r="B68" s="22">
        <f t="shared" ca="1" si="1"/>
        <v>73</v>
      </c>
      <c r="C68" s="22" t="s">
        <v>22</v>
      </c>
      <c r="D68" s="11" t="s">
        <v>77</v>
      </c>
      <c r="E68" s="11" t="s">
        <v>34</v>
      </c>
      <c r="F68" s="11" t="s">
        <v>12</v>
      </c>
      <c r="G68" s="38" t="s">
        <v>98</v>
      </c>
      <c r="H68" s="11" t="s">
        <v>14</v>
      </c>
    </row>
    <row r="69" spans="1:8">
      <c r="A69" s="46">
        <v>46005</v>
      </c>
      <c r="B69" s="22">
        <f t="shared" ca="1" si="1"/>
        <v>73</v>
      </c>
      <c r="C69" s="22" t="s">
        <v>22</v>
      </c>
      <c r="D69" s="11" t="s">
        <v>77</v>
      </c>
      <c r="E69" s="11" t="s">
        <v>34</v>
      </c>
      <c r="F69" s="11" t="s">
        <v>12</v>
      </c>
      <c r="G69" s="38" t="s">
        <v>99</v>
      </c>
      <c r="H69" s="11" t="s">
        <v>14</v>
      </c>
    </row>
    <row r="70" spans="1:8">
      <c r="A70" s="46">
        <v>46005</v>
      </c>
      <c r="B70" s="22">
        <f t="shared" ca="1" si="1"/>
        <v>73</v>
      </c>
      <c r="C70" s="22" t="s">
        <v>25</v>
      </c>
      <c r="D70" s="11" t="s">
        <v>77</v>
      </c>
      <c r="E70" s="11" t="s">
        <v>34</v>
      </c>
      <c r="F70" s="11" t="s">
        <v>12</v>
      </c>
      <c r="G70" s="38" t="s">
        <v>100</v>
      </c>
      <c r="H70" s="11" t="s">
        <v>14</v>
      </c>
    </row>
    <row r="71" spans="1:8">
      <c r="A71" s="46">
        <v>46005</v>
      </c>
      <c r="B71" s="22">
        <f t="shared" ca="1" si="1"/>
        <v>73</v>
      </c>
      <c r="C71" s="22" t="s">
        <v>25</v>
      </c>
      <c r="D71" s="11" t="s">
        <v>77</v>
      </c>
      <c r="E71" s="11" t="s">
        <v>34</v>
      </c>
      <c r="F71" s="11" t="s">
        <v>12</v>
      </c>
      <c r="G71" s="38" t="s">
        <v>101</v>
      </c>
      <c r="H71" s="11" t="s">
        <v>14</v>
      </c>
    </row>
    <row r="72" spans="1:8">
      <c r="A72" s="46">
        <v>46009</v>
      </c>
      <c r="B72" s="22">
        <f t="shared" ca="1" si="1"/>
        <v>69</v>
      </c>
      <c r="C72" s="22" t="s">
        <v>9</v>
      </c>
      <c r="D72" s="11" t="s">
        <v>102</v>
      </c>
      <c r="E72" s="11" t="s">
        <v>11</v>
      </c>
      <c r="F72" s="11" t="s">
        <v>15</v>
      </c>
      <c r="G72" s="38" t="s">
        <v>103</v>
      </c>
      <c r="H72" s="11" t="s">
        <v>14</v>
      </c>
    </row>
    <row r="73" spans="1:8">
      <c r="A73" s="46">
        <v>46009</v>
      </c>
      <c r="B73" s="22">
        <f t="shared" ca="1" si="1"/>
        <v>69</v>
      </c>
      <c r="C73" s="22" t="s">
        <v>9</v>
      </c>
      <c r="D73" s="11" t="s">
        <v>104</v>
      </c>
      <c r="E73" s="11" t="s">
        <v>11</v>
      </c>
      <c r="F73" s="11" t="s">
        <v>12</v>
      </c>
      <c r="G73" s="38" t="s">
        <v>105</v>
      </c>
      <c r="H73" s="11" t="s">
        <v>14</v>
      </c>
    </row>
    <row r="74" spans="1:8">
      <c r="A74" s="46">
        <v>46021</v>
      </c>
      <c r="B74" s="22">
        <f t="shared" ca="1" si="1"/>
        <v>57</v>
      </c>
      <c r="C74" s="22" t="s">
        <v>9</v>
      </c>
      <c r="D74" s="23" t="s">
        <v>106</v>
      </c>
      <c r="E74" s="11" t="s">
        <v>11</v>
      </c>
      <c r="F74" s="11" t="s">
        <v>15</v>
      </c>
      <c r="G74" s="39" t="s">
        <v>107</v>
      </c>
      <c r="H74" s="11" t="s">
        <v>14</v>
      </c>
    </row>
    <row r="75" spans="1:8">
      <c r="A75" s="46">
        <v>46031</v>
      </c>
      <c r="B75" s="22">
        <f t="shared" ca="1" si="1"/>
        <v>47</v>
      </c>
      <c r="C75" s="22" t="s">
        <v>9</v>
      </c>
      <c r="D75" s="11" t="s">
        <v>108</v>
      </c>
      <c r="E75" s="11" t="s">
        <v>11</v>
      </c>
      <c r="F75" s="11" t="s">
        <v>15</v>
      </c>
      <c r="G75" s="38" t="s">
        <v>109</v>
      </c>
      <c r="H75" s="11" t="s">
        <v>14</v>
      </c>
    </row>
    <row r="76" spans="1:8">
      <c r="A76" s="46">
        <v>46031</v>
      </c>
      <c r="B76" s="22">
        <f t="shared" ca="1" si="1"/>
        <v>47</v>
      </c>
      <c r="C76" s="22" t="s">
        <v>9</v>
      </c>
      <c r="D76" s="11" t="s">
        <v>108</v>
      </c>
      <c r="E76" s="11" t="s">
        <v>11</v>
      </c>
      <c r="F76" s="11" t="s">
        <v>12</v>
      </c>
      <c r="G76" s="38" t="s">
        <v>110</v>
      </c>
      <c r="H76" s="11" t="s">
        <v>14</v>
      </c>
    </row>
    <row r="77" spans="1:8">
      <c r="A77" s="45">
        <v>46037</v>
      </c>
      <c r="B77" s="22">
        <f t="shared" ref="B77:B82" ca="1" si="2">TODAY()-A77</f>
        <v>41</v>
      </c>
      <c r="C77" s="22" t="s">
        <v>9</v>
      </c>
      <c r="D77" s="11" t="s">
        <v>108</v>
      </c>
      <c r="E77" s="11" t="s">
        <v>34</v>
      </c>
      <c r="F77" s="11" t="s">
        <v>15</v>
      </c>
      <c r="G77" s="39" t="s">
        <v>111</v>
      </c>
      <c r="H77" s="11" t="s">
        <v>14</v>
      </c>
    </row>
    <row r="78" spans="1:8">
      <c r="A78" s="45">
        <v>46037</v>
      </c>
      <c r="B78" s="22">
        <f t="shared" ca="1" si="2"/>
        <v>41</v>
      </c>
      <c r="C78" s="22" t="s">
        <v>9</v>
      </c>
      <c r="D78" s="11" t="s">
        <v>108</v>
      </c>
      <c r="E78" s="11" t="s">
        <v>34</v>
      </c>
      <c r="F78" s="11" t="s">
        <v>12</v>
      </c>
      <c r="G78" s="23" t="s">
        <v>112</v>
      </c>
      <c r="H78" s="11" t="s">
        <v>14</v>
      </c>
    </row>
    <row r="79" spans="1:8">
      <c r="A79" s="45">
        <v>45971</v>
      </c>
      <c r="B79" s="22">
        <f t="shared" ca="1" si="2"/>
        <v>107</v>
      </c>
      <c r="C79" s="22" t="s">
        <v>9</v>
      </c>
      <c r="D79" s="11" t="s">
        <v>113</v>
      </c>
      <c r="E79" s="11" t="s">
        <v>114</v>
      </c>
      <c r="F79" s="11" t="s">
        <v>12</v>
      </c>
      <c r="G79" s="23" t="s">
        <v>115</v>
      </c>
      <c r="H79" s="11" t="s">
        <v>14</v>
      </c>
    </row>
    <row r="80" spans="1:8">
      <c r="A80" s="45">
        <v>45971</v>
      </c>
      <c r="B80" s="22">
        <f t="shared" ca="1" si="2"/>
        <v>107</v>
      </c>
      <c r="C80" s="22" t="s">
        <v>9</v>
      </c>
      <c r="D80" s="11" t="s">
        <v>113</v>
      </c>
      <c r="E80" s="11" t="s">
        <v>114</v>
      </c>
      <c r="F80" s="11" t="s">
        <v>12</v>
      </c>
      <c r="G80" s="23" t="s">
        <v>116</v>
      </c>
      <c r="H80" s="11" t="s">
        <v>14</v>
      </c>
    </row>
    <row r="81" spans="1:8">
      <c r="A81" s="45">
        <v>45995</v>
      </c>
      <c r="B81" s="22">
        <f t="shared" ca="1" si="2"/>
        <v>83</v>
      </c>
      <c r="C81" s="22" t="s">
        <v>9</v>
      </c>
      <c r="D81" s="11" t="s">
        <v>59</v>
      </c>
      <c r="E81" s="11" t="s">
        <v>114</v>
      </c>
      <c r="F81" s="11" t="s">
        <v>15</v>
      </c>
      <c r="G81" s="23" t="s">
        <v>117</v>
      </c>
      <c r="H81" s="11" t="s">
        <v>14</v>
      </c>
    </row>
    <row r="82" spans="1:8">
      <c r="A82" s="45">
        <v>45995</v>
      </c>
      <c r="B82" s="22">
        <f t="shared" ca="1" si="2"/>
        <v>83</v>
      </c>
      <c r="C82" s="22" t="s">
        <v>9</v>
      </c>
      <c r="D82" s="11" t="s">
        <v>59</v>
      </c>
      <c r="E82" s="11" t="s">
        <v>114</v>
      </c>
      <c r="F82" s="11" t="s">
        <v>12</v>
      </c>
      <c r="G82" s="23" t="s">
        <v>118</v>
      </c>
      <c r="H82" s="11" t="s">
        <v>14</v>
      </c>
    </row>
    <row r="83" spans="1:8">
      <c r="A83" s="46">
        <v>46042</v>
      </c>
      <c r="B83" s="22">
        <f ca="1">TODAY()-A83</f>
        <v>36</v>
      </c>
      <c r="C83" s="22" t="s">
        <v>9</v>
      </c>
      <c r="D83" s="11" t="s">
        <v>108</v>
      </c>
      <c r="E83" s="11" t="s">
        <v>114</v>
      </c>
      <c r="F83" s="11" t="s">
        <v>15</v>
      </c>
      <c r="G83" s="23" t="s">
        <v>119</v>
      </c>
      <c r="H83" s="11" t="s">
        <v>14</v>
      </c>
    </row>
    <row r="84" spans="1:8">
      <c r="A84" s="46">
        <v>46042</v>
      </c>
      <c r="B84" s="22">
        <f ca="1">TODAY()-A84</f>
        <v>36</v>
      </c>
      <c r="C84" s="22" t="s">
        <v>9</v>
      </c>
      <c r="D84" s="11" t="s">
        <v>108</v>
      </c>
      <c r="E84" s="11" t="s">
        <v>114</v>
      </c>
      <c r="F84" s="11" t="s">
        <v>12</v>
      </c>
      <c r="G84" s="23" t="s">
        <v>120</v>
      </c>
      <c r="H84" s="11" t="s">
        <v>14</v>
      </c>
    </row>
    <row r="85" spans="1:8">
      <c r="A85" s="46">
        <v>46046</v>
      </c>
      <c r="B85" s="22">
        <f ca="1">TODAY()-A85</f>
        <v>32</v>
      </c>
      <c r="C85" s="22" t="s">
        <v>9</v>
      </c>
      <c r="D85" s="39" t="s">
        <v>121</v>
      </c>
      <c r="E85" s="11" t="s">
        <v>11</v>
      </c>
      <c r="F85" s="11" t="s">
        <v>15</v>
      </c>
      <c r="G85" s="23" t="s">
        <v>122</v>
      </c>
      <c r="H85" s="11" t="s">
        <v>14</v>
      </c>
    </row>
    <row r="86" spans="1:8">
      <c r="A86" s="46">
        <v>46046</v>
      </c>
      <c r="B86" s="22">
        <f ca="1">TODAY()-A86</f>
        <v>32</v>
      </c>
      <c r="C86" s="22" t="s">
        <v>9</v>
      </c>
      <c r="D86" s="39" t="s">
        <v>121</v>
      </c>
      <c r="E86" s="11" t="s">
        <v>11</v>
      </c>
      <c r="F86" s="11" t="s">
        <v>12</v>
      </c>
      <c r="G86" s="23" t="s">
        <v>123</v>
      </c>
      <c r="H86" s="11" t="s">
        <v>14</v>
      </c>
    </row>
    <row r="87" spans="1:8">
      <c r="A87" s="46">
        <v>46052</v>
      </c>
      <c r="B87" s="22">
        <f ca="1">TODAY()-A87</f>
        <v>26</v>
      </c>
      <c r="C87" s="22" t="s">
        <v>9</v>
      </c>
      <c r="D87" s="11" t="s">
        <v>124</v>
      </c>
      <c r="E87" s="11" t="s">
        <v>11</v>
      </c>
      <c r="F87" s="11" t="s">
        <v>12</v>
      </c>
      <c r="G87" s="23" t="s">
        <v>125</v>
      </c>
      <c r="H87" s="11" t="s">
        <v>14</v>
      </c>
    </row>
    <row r="88" spans="1:8">
      <c r="A88" s="46">
        <v>46058</v>
      </c>
      <c r="B88" s="22">
        <f ca="1">TODAY()-A88</f>
        <v>20</v>
      </c>
      <c r="C88" s="22" t="s">
        <v>9</v>
      </c>
      <c r="D88" s="11" t="s">
        <v>124</v>
      </c>
      <c r="E88" s="11" t="s">
        <v>11</v>
      </c>
      <c r="F88" s="11" t="s">
        <v>15</v>
      </c>
      <c r="G88" s="23" t="s">
        <v>126</v>
      </c>
      <c r="H88" s="11" t="s">
        <v>38</v>
      </c>
    </row>
    <row r="89" spans="1:8">
      <c r="A89" s="46">
        <v>46061</v>
      </c>
      <c r="B89" s="22">
        <f ca="1">TODAY()-A89</f>
        <v>17</v>
      </c>
      <c r="C89" s="22" t="s">
        <v>9</v>
      </c>
      <c r="D89" s="11" t="s">
        <v>124</v>
      </c>
      <c r="E89" s="11" t="s">
        <v>34</v>
      </c>
      <c r="F89" s="11" t="s">
        <v>12</v>
      </c>
      <c r="G89" s="23" t="s">
        <v>127</v>
      </c>
      <c r="H89" s="11" t="s">
        <v>38</v>
      </c>
    </row>
    <row r="90" spans="1:8">
      <c r="A90" s="46">
        <v>46066</v>
      </c>
      <c r="B90" s="22">
        <f ca="1">TODAY()-A90</f>
        <v>12</v>
      </c>
      <c r="C90" s="22" t="s">
        <v>9</v>
      </c>
      <c r="D90" s="11" t="s">
        <v>124</v>
      </c>
      <c r="E90" s="11" t="s">
        <v>34</v>
      </c>
      <c r="F90" s="11" t="s">
        <v>15</v>
      </c>
      <c r="G90" s="23" t="s">
        <v>128</v>
      </c>
      <c r="H90" s="11" t="s">
        <v>38</v>
      </c>
    </row>
    <row r="91" spans="1:8">
      <c r="A91" s="46">
        <v>46066</v>
      </c>
      <c r="B91" s="22">
        <f ca="1">TODAY()-A91</f>
        <v>12</v>
      </c>
      <c r="C91" s="22" t="s">
        <v>9</v>
      </c>
      <c r="D91" s="11" t="s">
        <v>124</v>
      </c>
      <c r="E91" s="11" t="s">
        <v>114</v>
      </c>
      <c r="F91" s="11" t="s">
        <v>15</v>
      </c>
      <c r="G91" s="23" t="s">
        <v>129</v>
      </c>
      <c r="H91" s="11" t="s">
        <v>38</v>
      </c>
    </row>
    <row r="92" spans="1:8">
      <c r="A92" s="46">
        <v>46066</v>
      </c>
      <c r="B92" s="22">
        <f ca="1">TODAY()-A92</f>
        <v>12</v>
      </c>
      <c r="C92" s="22" t="s">
        <v>9</v>
      </c>
      <c r="D92" s="11" t="s">
        <v>124</v>
      </c>
      <c r="E92" s="11" t="s">
        <v>114</v>
      </c>
      <c r="F92" s="11" t="s">
        <v>12</v>
      </c>
      <c r="G92" s="23" t="s">
        <v>130</v>
      </c>
      <c r="H92" s="11" t="s">
        <v>38</v>
      </c>
    </row>
  </sheetData>
  <phoneticPr fontId="3" type="noConversion"/>
  <conditionalFormatting sqref="G1:G76 G78:G82 G87 G93:G1048576">
    <cfRule type="expression" dxfId="79" priority="2">
      <formula>$F1="privilege"</formula>
    </cfRule>
  </conditionalFormatting>
  <conditionalFormatting sqref="G100">
    <cfRule type="expression" dxfId="78" priority="3">
      <formula>$F100="privilege"</formula>
    </cfRule>
  </conditionalFormatting>
  <conditionalFormatting sqref="H2:H200">
    <cfRule type="cellIs" dxfId="77" priority="1" operator="equal">
      <formula>"Completed"</formula>
    </cfRule>
  </conditionalFormatting>
  <dataValidations count="5">
    <dataValidation type="custom" showInputMessage="1" showErrorMessage="1" sqref="F1" xr:uid="{0A4BC50C-D8F8-43FD-90E7-450BB6DCD694}">
      <formula1>"Public, Privielege"</formula1>
    </dataValidation>
    <dataValidation type="list" allowBlank="1" showInputMessage="1" showErrorMessage="1" sqref="E1:E1048576 F93:F1048576" xr:uid="{588A02BA-BE39-483D-A4E4-4FB10A6009EC}">
      <formula1>"Launch, Repush, Lastcall"</formula1>
    </dataValidation>
    <dataValidation type="list" allowBlank="1" showInputMessage="1" showErrorMessage="1" sqref="H2:H92" xr:uid="{47D6AF3A-55D4-461E-92E7-26116E565C0D}">
      <formula1>"Request submitted, In progress, Completed"</formula1>
    </dataValidation>
    <dataValidation type="list" showInputMessage="1" showErrorMessage="1" sqref="F2:F92" xr:uid="{1B56AA14-E251-415F-83C8-5EE04597A1A5}">
      <formula1>"Public, Privilege"</formula1>
    </dataValidation>
    <dataValidation type="list" allowBlank="1" showInputMessage="1" showErrorMessage="1" sqref="C2:C92" xr:uid="{E68A3E42-BE79-4FD8-9424-427C3CE34650}">
      <formula1>"COM,AU,NZ,FR,UK,IE,PT,IT,ES,DE,NO,BE,BF,BN"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A15E-F152-4172-B2C1-7EDAF30E95F9}">
  <sheetPr codeName="Feuil2"/>
  <dimension ref="A1:DW101"/>
  <sheetViews>
    <sheetView topLeftCell="A80" zoomScale="80" zoomScaleNormal="80" workbookViewId="0">
      <selection activeCell="G111" sqref="G111"/>
    </sheetView>
  </sheetViews>
  <sheetFormatPr defaultColWidth="10.85546875" defaultRowHeight="14.45"/>
  <cols>
    <col min="1" max="1" width="14.85546875" style="11" customWidth="1"/>
    <col min="2" max="2" width="10.140625" style="11" bestFit="1" customWidth="1"/>
    <col min="3" max="3" width="25.7109375" style="11" bestFit="1" customWidth="1"/>
    <col min="4" max="4" width="9.85546875" style="11" bestFit="1" customWidth="1"/>
    <col min="5" max="5" width="11.7109375" style="11" bestFit="1" customWidth="1"/>
    <col min="6" max="6" width="51.5703125" style="11" customWidth="1"/>
    <col min="7" max="7" width="82" style="11" customWidth="1"/>
    <col min="8" max="8" width="12.140625" style="11" customWidth="1"/>
    <col min="9" max="9" width="12.85546875" style="13" bestFit="1" customWidth="1"/>
    <col min="10" max="10" width="8.85546875" style="16" bestFit="1" customWidth="1"/>
    <col min="11" max="11" width="14.28515625" style="11" bestFit="1" customWidth="1"/>
    <col min="12" max="12" width="15.85546875" style="11" bestFit="1" customWidth="1"/>
    <col min="13" max="13" width="9.28515625" style="11" customWidth="1"/>
    <col min="14" max="14" width="11.42578125" style="11" bestFit="1" customWidth="1"/>
    <col min="15" max="16384" width="10.85546875" style="11"/>
  </cols>
  <sheetData>
    <row r="1" spans="1:16">
      <c r="A1" s="9" t="s">
        <v>0</v>
      </c>
      <c r="B1" s="9" t="s">
        <v>2</v>
      </c>
      <c r="C1" s="9" t="s">
        <v>3</v>
      </c>
      <c r="D1" s="9" t="s">
        <v>4</v>
      </c>
      <c r="E1" s="9" t="s">
        <v>131</v>
      </c>
      <c r="F1" s="9" t="s">
        <v>132</v>
      </c>
      <c r="G1" s="9" t="s">
        <v>6</v>
      </c>
      <c r="H1" s="9" t="s">
        <v>133</v>
      </c>
      <c r="I1" s="24" t="s">
        <v>134</v>
      </c>
      <c r="J1" s="37" t="s">
        <v>135</v>
      </c>
      <c r="K1" s="9" t="s">
        <v>136</v>
      </c>
      <c r="L1" s="9" t="s">
        <v>137</v>
      </c>
      <c r="M1" s="9" t="s">
        <v>138</v>
      </c>
      <c r="N1" s="9" t="s">
        <v>139</v>
      </c>
      <c r="O1" s="9" t="s">
        <v>140</v>
      </c>
      <c r="P1" s="9" t="s">
        <v>8</v>
      </c>
    </row>
    <row r="2" spans="1:16">
      <c r="A2" s="14">
        <v>45813</v>
      </c>
      <c r="B2" s="15" t="s">
        <v>19</v>
      </c>
      <c r="C2" s="11" t="s">
        <v>141</v>
      </c>
      <c r="D2" s="11" t="s">
        <v>114</v>
      </c>
      <c r="E2" s="11" t="s">
        <v>15</v>
      </c>
      <c r="F2" s="11" t="s">
        <v>142</v>
      </c>
      <c r="G2" s="11" t="s">
        <v>143</v>
      </c>
      <c r="I2" s="13" t="s">
        <v>144</v>
      </c>
      <c r="K2" s="10">
        <v>2837</v>
      </c>
      <c r="L2" s="11">
        <v>1139</v>
      </c>
    </row>
    <row r="3" spans="1:16">
      <c r="A3" s="14">
        <v>45841</v>
      </c>
      <c r="B3" s="15" t="s">
        <v>19</v>
      </c>
      <c r="C3" s="11" t="s">
        <v>145</v>
      </c>
      <c r="D3" s="11" t="s">
        <v>11</v>
      </c>
      <c r="E3" s="11" t="s">
        <v>15</v>
      </c>
      <c r="F3" s="11" t="s">
        <v>146</v>
      </c>
      <c r="G3" s="11" t="s">
        <v>147</v>
      </c>
      <c r="I3" s="13" t="s">
        <v>148</v>
      </c>
      <c r="K3" s="11">
        <v>2068</v>
      </c>
      <c r="L3" s="11">
        <v>771</v>
      </c>
    </row>
    <row r="4" spans="1:16">
      <c r="A4" s="14">
        <v>45841</v>
      </c>
      <c r="B4" s="15" t="s">
        <v>19</v>
      </c>
      <c r="C4" s="11" t="s">
        <v>145</v>
      </c>
      <c r="D4" s="11" t="s">
        <v>11</v>
      </c>
      <c r="E4" s="11" t="s">
        <v>15</v>
      </c>
      <c r="F4" s="11" t="s">
        <v>149</v>
      </c>
      <c r="G4" s="11" t="s">
        <v>150</v>
      </c>
      <c r="I4" s="13" t="s">
        <v>151</v>
      </c>
      <c r="K4" s="11">
        <v>934</v>
      </c>
      <c r="L4" s="11">
        <v>412</v>
      </c>
    </row>
    <row r="5" spans="1:16">
      <c r="A5" s="14">
        <v>45841</v>
      </c>
      <c r="B5" s="15" t="s">
        <v>19</v>
      </c>
      <c r="C5" s="11" t="s">
        <v>145</v>
      </c>
      <c r="D5" s="11" t="s">
        <v>11</v>
      </c>
      <c r="E5" s="11" t="s">
        <v>15</v>
      </c>
      <c r="F5" s="11" t="s">
        <v>152</v>
      </c>
      <c r="G5" s="11" t="s">
        <v>153</v>
      </c>
      <c r="I5" s="13" t="s">
        <v>154</v>
      </c>
      <c r="K5" s="11">
        <v>175</v>
      </c>
      <c r="L5" s="11">
        <v>91</v>
      </c>
    </row>
    <row r="6" spans="1:16">
      <c r="A6" s="14">
        <v>45846</v>
      </c>
      <c r="B6" s="15" t="s">
        <v>19</v>
      </c>
      <c r="C6" s="11" t="s">
        <v>145</v>
      </c>
      <c r="D6" s="11" t="s">
        <v>34</v>
      </c>
      <c r="E6" s="11" t="s">
        <v>15</v>
      </c>
      <c r="F6" s="11" t="s">
        <v>155</v>
      </c>
      <c r="G6" s="11" t="s">
        <v>156</v>
      </c>
      <c r="I6" s="13" t="s">
        <v>157</v>
      </c>
      <c r="K6" s="11">
        <v>404</v>
      </c>
      <c r="L6" s="11">
        <v>294</v>
      </c>
    </row>
    <row r="7" spans="1:16">
      <c r="A7" s="14">
        <v>45846</v>
      </c>
      <c r="B7" s="15" t="s">
        <v>19</v>
      </c>
      <c r="C7" s="11" t="s">
        <v>145</v>
      </c>
      <c r="D7" s="11" t="s">
        <v>34</v>
      </c>
      <c r="E7" s="11" t="s">
        <v>15</v>
      </c>
      <c r="F7" s="11" t="s">
        <v>158</v>
      </c>
      <c r="G7" s="11" t="s">
        <v>159</v>
      </c>
      <c r="I7" s="13" t="s">
        <v>160</v>
      </c>
      <c r="K7" s="11">
        <v>492</v>
      </c>
      <c r="L7" s="11">
        <v>266</v>
      </c>
    </row>
    <row r="8" spans="1:16">
      <c r="A8" s="14">
        <v>45846</v>
      </c>
      <c r="B8" s="15" t="s">
        <v>19</v>
      </c>
      <c r="C8" s="11" t="s">
        <v>145</v>
      </c>
      <c r="D8" s="11" t="s">
        <v>34</v>
      </c>
      <c r="E8" s="11" t="s">
        <v>15</v>
      </c>
      <c r="F8" s="11" t="s">
        <v>158</v>
      </c>
      <c r="G8" s="11" t="s">
        <v>161</v>
      </c>
      <c r="I8" s="13" t="s">
        <v>162</v>
      </c>
      <c r="K8" s="11">
        <v>76</v>
      </c>
      <c r="L8" s="11">
        <v>266</v>
      </c>
    </row>
    <row r="9" spans="1:16">
      <c r="A9" s="14">
        <v>45846</v>
      </c>
      <c r="B9" s="15" t="s">
        <v>19</v>
      </c>
      <c r="C9" s="11" t="s">
        <v>145</v>
      </c>
      <c r="D9" s="11" t="s">
        <v>34</v>
      </c>
      <c r="E9" s="11" t="s">
        <v>15</v>
      </c>
      <c r="F9" s="11" t="s">
        <v>158</v>
      </c>
      <c r="G9" s="11" t="s">
        <v>163</v>
      </c>
      <c r="I9" s="13" t="s">
        <v>164</v>
      </c>
      <c r="K9" s="11">
        <v>1881</v>
      </c>
      <c r="L9" s="11">
        <v>613</v>
      </c>
    </row>
    <row r="10" spans="1:16">
      <c r="A10" s="14">
        <v>45850</v>
      </c>
      <c r="B10" s="15" t="s">
        <v>19</v>
      </c>
      <c r="C10" s="11" t="s">
        <v>145</v>
      </c>
      <c r="D10" s="11" t="s">
        <v>34</v>
      </c>
      <c r="E10" s="11" t="s">
        <v>15</v>
      </c>
      <c r="F10" s="11" t="s">
        <v>158</v>
      </c>
      <c r="G10" s="11" t="s">
        <v>165</v>
      </c>
      <c r="I10" s="13" t="s">
        <v>166</v>
      </c>
      <c r="K10" s="11">
        <v>267</v>
      </c>
      <c r="L10" s="11">
        <v>152</v>
      </c>
    </row>
    <row r="11" spans="1:16">
      <c r="A11" s="14">
        <v>45850</v>
      </c>
      <c r="B11" s="15" t="s">
        <v>19</v>
      </c>
      <c r="C11" s="11" t="s">
        <v>145</v>
      </c>
      <c r="D11" s="11" t="s">
        <v>34</v>
      </c>
      <c r="E11" s="11" t="s">
        <v>15</v>
      </c>
      <c r="F11" s="11" t="s">
        <v>158</v>
      </c>
      <c r="G11" s="11" t="s">
        <v>167</v>
      </c>
      <c r="I11" s="13" t="s">
        <v>168</v>
      </c>
      <c r="K11" s="11">
        <v>7</v>
      </c>
      <c r="L11" s="11">
        <v>3</v>
      </c>
    </row>
    <row r="12" spans="1:16">
      <c r="A12" s="14">
        <v>45856</v>
      </c>
      <c r="B12" s="15" t="s">
        <v>19</v>
      </c>
      <c r="C12" s="11" t="s">
        <v>169</v>
      </c>
      <c r="D12" s="11" t="s">
        <v>11</v>
      </c>
      <c r="E12" s="11" t="s">
        <v>15</v>
      </c>
      <c r="F12" s="11" t="s">
        <v>158</v>
      </c>
      <c r="G12" s="11" t="s">
        <v>170</v>
      </c>
      <c r="I12" s="13" t="s">
        <v>171</v>
      </c>
      <c r="K12" s="10">
        <v>2883</v>
      </c>
      <c r="L12" s="10">
        <v>1152</v>
      </c>
      <c r="M12" s="10"/>
    </row>
    <row r="13" spans="1:16">
      <c r="A13" s="14">
        <v>45875</v>
      </c>
      <c r="B13" s="15" t="s">
        <v>19</v>
      </c>
      <c r="C13" s="11" t="s">
        <v>172</v>
      </c>
      <c r="D13" s="11" t="s">
        <v>11</v>
      </c>
      <c r="E13" s="11" t="s">
        <v>15</v>
      </c>
      <c r="F13" s="11" t="s">
        <v>173</v>
      </c>
      <c r="G13" s="11" t="s">
        <v>174</v>
      </c>
      <c r="I13" s="13" t="s">
        <v>175</v>
      </c>
      <c r="K13" s="10">
        <v>2036</v>
      </c>
      <c r="L13" s="10">
        <v>631</v>
      </c>
      <c r="M13" s="10"/>
    </row>
    <row r="14" spans="1:16">
      <c r="A14" s="14">
        <v>45875</v>
      </c>
      <c r="B14" s="15" t="s">
        <v>19</v>
      </c>
      <c r="C14" s="11" t="s">
        <v>176</v>
      </c>
      <c r="D14" s="11" t="s">
        <v>11</v>
      </c>
      <c r="E14" s="11" t="s">
        <v>15</v>
      </c>
      <c r="F14" s="11" t="s">
        <v>173</v>
      </c>
      <c r="G14" s="11" t="s">
        <v>177</v>
      </c>
      <c r="I14" s="13" t="s">
        <v>178</v>
      </c>
      <c r="K14" s="10">
        <v>2399</v>
      </c>
      <c r="L14" s="10">
        <v>811</v>
      </c>
      <c r="M14" s="10"/>
    </row>
    <row r="15" spans="1:16">
      <c r="A15" s="14">
        <v>45883</v>
      </c>
      <c r="B15" s="15" t="s">
        <v>19</v>
      </c>
      <c r="C15" s="11" t="s">
        <v>176</v>
      </c>
      <c r="D15" s="11" t="s">
        <v>34</v>
      </c>
      <c r="E15" s="11" t="s">
        <v>15</v>
      </c>
      <c r="F15" s="11" t="s">
        <v>179</v>
      </c>
      <c r="G15" s="11" t="s">
        <v>180</v>
      </c>
      <c r="I15" s="13" t="s">
        <v>181</v>
      </c>
      <c r="K15" s="11">
        <v>2373</v>
      </c>
      <c r="L15" s="11">
        <v>711</v>
      </c>
    </row>
    <row r="16" spans="1:16" ht="29.1">
      <c r="A16" s="14">
        <v>45894</v>
      </c>
      <c r="B16" s="15" t="s">
        <v>25</v>
      </c>
      <c r="C16" s="11" t="s">
        <v>182</v>
      </c>
      <c r="D16" s="11" t="s">
        <v>11</v>
      </c>
      <c r="E16" s="11" t="s">
        <v>12</v>
      </c>
      <c r="F16" s="11" t="s">
        <v>183</v>
      </c>
      <c r="G16" s="11" t="s">
        <v>184</v>
      </c>
      <c r="I16" s="13" t="s">
        <v>185</v>
      </c>
      <c r="K16" s="11">
        <v>274</v>
      </c>
      <c r="L16" s="11">
        <v>103</v>
      </c>
    </row>
    <row r="17" spans="1:127">
      <c r="A17" s="14">
        <v>45905</v>
      </c>
      <c r="B17" s="15" t="s">
        <v>19</v>
      </c>
      <c r="C17" s="11" t="s">
        <v>186</v>
      </c>
      <c r="D17" s="11" t="s">
        <v>11</v>
      </c>
      <c r="E17" s="11" t="s">
        <v>15</v>
      </c>
      <c r="F17" s="11" t="s">
        <v>187</v>
      </c>
      <c r="G17" s="11" t="s">
        <v>188</v>
      </c>
      <c r="I17" s="13" t="s">
        <v>189</v>
      </c>
      <c r="K17" s="11">
        <v>2292</v>
      </c>
      <c r="L17" s="11">
        <v>639</v>
      </c>
    </row>
    <row r="18" spans="1:127">
      <c r="A18" s="14">
        <v>45905</v>
      </c>
      <c r="B18" s="15" t="s">
        <v>19</v>
      </c>
      <c r="C18" s="11" t="s">
        <v>186</v>
      </c>
      <c r="D18" s="11" t="s">
        <v>11</v>
      </c>
      <c r="E18" s="11" t="s">
        <v>12</v>
      </c>
      <c r="F18" s="11" t="s">
        <v>187</v>
      </c>
      <c r="G18" s="11" t="s">
        <v>190</v>
      </c>
      <c r="I18" s="13" t="s">
        <v>191</v>
      </c>
      <c r="K18" s="11">
        <v>410</v>
      </c>
      <c r="L18" s="11">
        <v>216</v>
      </c>
    </row>
    <row r="19" spans="1:127">
      <c r="A19" s="14">
        <v>45911</v>
      </c>
      <c r="B19" s="15" t="s">
        <v>19</v>
      </c>
      <c r="C19" s="11" t="s">
        <v>192</v>
      </c>
      <c r="D19" s="11" t="s">
        <v>11</v>
      </c>
      <c r="E19" s="11" t="s">
        <v>15</v>
      </c>
      <c r="F19" s="11" t="s">
        <v>193</v>
      </c>
      <c r="G19" s="11" t="s">
        <v>194</v>
      </c>
      <c r="I19" s="12" t="s">
        <v>195</v>
      </c>
      <c r="K19" s="11">
        <v>2752</v>
      </c>
      <c r="L19" s="11">
        <v>779</v>
      </c>
    </row>
    <row r="20" spans="1:127">
      <c r="A20" s="14">
        <v>45911</v>
      </c>
      <c r="B20" s="15" t="s">
        <v>19</v>
      </c>
      <c r="C20" s="11" t="s">
        <v>192</v>
      </c>
      <c r="D20" s="11" t="s">
        <v>11</v>
      </c>
      <c r="E20" s="11" t="s">
        <v>12</v>
      </c>
      <c r="F20" s="11" t="s">
        <v>193</v>
      </c>
      <c r="G20" s="11" t="s">
        <v>196</v>
      </c>
      <c r="I20" s="12" t="s">
        <v>197</v>
      </c>
      <c r="K20" s="11">
        <v>608</v>
      </c>
      <c r="L20" s="11">
        <v>323</v>
      </c>
    </row>
    <row r="21" spans="1:127">
      <c r="A21" s="14">
        <v>45914</v>
      </c>
      <c r="B21" s="15" t="s">
        <v>19</v>
      </c>
      <c r="C21" s="11" t="s">
        <v>192</v>
      </c>
      <c r="D21" s="11" t="s">
        <v>34</v>
      </c>
      <c r="E21" s="11" t="s">
        <v>15</v>
      </c>
      <c r="F21" s="11" t="s">
        <v>198</v>
      </c>
      <c r="G21" s="11" t="s">
        <v>199</v>
      </c>
      <c r="I21" s="12" t="s">
        <v>200</v>
      </c>
      <c r="K21" s="11">
        <v>2791</v>
      </c>
      <c r="L21" s="11">
        <v>736</v>
      </c>
    </row>
    <row r="22" spans="1:127">
      <c r="A22" s="14">
        <v>45914</v>
      </c>
      <c r="B22" s="15" t="s">
        <v>19</v>
      </c>
      <c r="C22" s="11" t="s">
        <v>192</v>
      </c>
      <c r="D22" s="11" t="s">
        <v>34</v>
      </c>
      <c r="E22" s="11" t="s">
        <v>12</v>
      </c>
      <c r="F22" s="11" t="s">
        <v>198</v>
      </c>
      <c r="G22" s="11" t="s">
        <v>201</v>
      </c>
      <c r="I22" s="13" t="s">
        <v>202</v>
      </c>
      <c r="K22" s="11">
        <v>573</v>
      </c>
      <c r="L22" s="11">
        <v>322</v>
      </c>
    </row>
    <row r="23" spans="1:127">
      <c r="A23" s="14">
        <v>45930</v>
      </c>
      <c r="B23" s="15" t="s">
        <v>19</v>
      </c>
      <c r="C23" s="11" t="s">
        <v>113</v>
      </c>
      <c r="D23" s="11" t="s">
        <v>11</v>
      </c>
      <c r="E23" s="11" t="s">
        <v>15</v>
      </c>
      <c r="F23" s="11" t="s">
        <v>203</v>
      </c>
      <c r="G23" s="11" t="s">
        <v>204</v>
      </c>
      <c r="I23" s="13" t="s">
        <v>205</v>
      </c>
      <c r="K23" s="11">
        <v>2454</v>
      </c>
      <c r="L23" s="11">
        <v>820</v>
      </c>
    </row>
    <row r="24" spans="1:127">
      <c r="A24" s="14">
        <v>45930</v>
      </c>
      <c r="B24" s="15" t="s">
        <v>19</v>
      </c>
      <c r="C24" s="11" t="s">
        <v>113</v>
      </c>
      <c r="D24" s="11" t="s">
        <v>11</v>
      </c>
      <c r="E24" s="11" t="s">
        <v>15</v>
      </c>
      <c r="F24" s="11" t="s">
        <v>203</v>
      </c>
      <c r="G24" s="11" t="s">
        <v>206</v>
      </c>
      <c r="I24" s="13" t="s">
        <v>207</v>
      </c>
      <c r="K24" s="11">
        <v>677</v>
      </c>
      <c r="L24" s="11">
        <v>370</v>
      </c>
    </row>
    <row r="25" spans="1:127">
      <c r="A25" s="14">
        <v>45939</v>
      </c>
      <c r="B25" s="15" t="s">
        <v>19</v>
      </c>
      <c r="C25" s="11" t="s">
        <v>113</v>
      </c>
      <c r="D25" s="11" t="s">
        <v>34</v>
      </c>
      <c r="E25" s="11" t="s">
        <v>15</v>
      </c>
      <c r="F25" s="11" t="s">
        <v>203</v>
      </c>
      <c r="G25" s="11" t="s">
        <v>208</v>
      </c>
      <c r="I25" s="13" t="s">
        <v>209</v>
      </c>
      <c r="K25" s="11">
        <v>1256</v>
      </c>
      <c r="L25" s="11">
        <v>593</v>
      </c>
    </row>
    <row r="26" spans="1:127">
      <c r="A26" s="14">
        <v>45939</v>
      </c>
      <c r="B26" s="15" t="s">
        <v>19</v>
      </c>
      <c r="C26" s="11" t="s">
        <v>113</v>
      </c>
      <c r="D26" s="11" t="s">
        <v>34</v>
      </c>
      <c r="E26" s="11" t="s">
        <v>15</v>
      </c>
      <c r="F26" s="11" t="s">
        <v>203</v>
      </c>
      <c r="G26" s="11" t="s">
        <v>210</v>
      </c>
      <c r="I26" s="13" t="s">
        <v>211</v>
      </c>
      <c r="K26" s="11">
        <v>348</v>
      </c>
      <c r="L26" s="11">
        <v>202</v>
      </c>
    </row>
    <row r="27" spans="1:127" ht="29.1">
      <c r="A27" s="14">
        <v>45947</v>
      </c>
      <c r="B27" s="15" t="s">
        <v>9</v>
      </c>
      <c r="C27" s="11" t="s">
        <v>212</v>
      </c>
      <c r="D27" s="11" t="s">
        <v>11</v>
      </c>
      <c r="E27" s="11" t="s">
        <v>15</v>
      </c>
      <c r="F27" s="11" t="s">
        <v>213</v>
      </c>
      <c r="G27" s="11" t="s">
        <v>214</v>
      </c>
      <c r="I27" s="13" t="s">
        <v>215</v>
      </c>
      <c r="K27" s="11">
        <v>2391</v>
      </c>
      <c r="L27" s="11">
        <v>901</v>
      </c>
    </row>
    <row r="28" spans="1:127" ht="29.1">
      <c r="A28" s="14">
        <v>45947</v>
      </c>
      <c r="B28" s="15" t="s">
        <v>9</v>
      </c>
      <c r="C28" s="11" t="s">
        <v>212</v>
      </c>
      <c r="D28" s="11" t="s">
        <v>11</v>
      </c>
      <c r="E28" s="11" t="s">
        <v>15</v>
      </c>
      <c r="F28" s="11" t="s">
        <v>213</v>
      </c>
      <c r="G28" s="11" t="s">
        <v>216</v>
      </c>
      <c r="I28" s="13" t="s">
        <v>217</v>
      </c>
      <c r="K28" s="11">
        <v>2596</v>
      </c>
      <c r="L28" s="11">
        <v>997</v>
      </c>
    </row>
    <row r="29" spans="1:127" ht="29.1">
      <c r="A29" s="14">
        <v>45947</v>
      </c>
      <c r="B29" s="15" t="s">
        <v>19</v>
      </c>
      <c r="C29" s="11" t="s">
        <v>212</v>
      </c>
      <c r="D29" s="11" t="s">
        <v>11</v>
      </c>
      <c r="E29" s="11" t="s">
        <v>15</v>
      </c>
      <c r="F29" s="11" t="s">
        <v>213</v>
      </c>
      <c r="G29" s="11" t="s">
        <v>218</v>
      </c>
      <c r="I29" s="13" t="s">
        <v>219</v>
      </c>
      <c r="K29" s="11">
        <v>695</v>
      </c>
      <c r="L29" s="11">
        <v>317</v>
      </c>
    </row>
    <row r="30" spans="1:127" s="17" customFormat="1" ht="29.1">
      <c r="A30" s="14">
        <v>45947</v>
      </c>
      <c r="B30" s="15" t="s">
        <v>19</v>
      </c>
      <c r="C30" s="11" t="s">
        <v>212</v>
      </c>
      <c r="D30" s="11" t="s">
        <v>11</v>
      </c>
      <c r="E30" s="11" t="s">
        <v>15</v>
      </c>
      <c r="F30" s="11" t="s">
        <v>213</v>
      </c>
      <c r="G30" s="11" t="s">
        <v>220</v>
      </c>
      <c r="H30" s="11"/>
      <c r="I30" s="13" t="s">
        <v>181</v>
      </c>
      <c r="J30" s="16"/>
      <c r="K30" s="11">
        <v>732</v>
      </c>
      <c r="L30" s="11">
        <v>236</v>
      </c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</row>
    <row r="31" spans="1:127" s="17" customFormat="1" ht="29.1">
      <c r="A31" s="14">
        <v>45947</v>
      </c>
      <c r="B31" s="15" t="s">
        <v>25</v>
      </c>
      <c r="C31" s="11" t="s">
        <v>212</v>
      </c>
      <c r="D31" s="11" t="s">
        <v>11</v>
      </c>
      <c r="E31" s="11" t="s">
        <v>15</v>
      </c>
      <c r="F31" s="11" t="s">
        <v>213</v>
      </c>
      <c r="G31" s="11" t="s">
        <v>221</v>
      </c>
      <c r="H31" s="11"/>
      <c r="I31" s="13" t="s">
        <v>222</v>
      </c>
      <c r="J31" s="16"/>
      <c r="K31" s="11">
        <v>1100</v>
      </c>
      <c r="L31" s="11">
        <v>366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</row>
    <row r="32" spans="1:127" s="17" customFormat="1" ht="29.1">
      <c r="A32" s="14">
        <v>45947</v>
      </c>
      <c r="B32" s="15" t="s">
        <v>25</v>
      </c>
      <c r="C32" s="11" t="s">
        <v>212</v>
      </c>
      <c r="D32" s="11" t="s">
        <v>11</v>
      </c>
      <c r="E32" s="11" t="s">
        <v>15</v>
      </c>
      <c r="F32" s="11" t="s">
        <v>213</v>
      </c>
      <c r="G32" s="11" t="s">
        <v>223</v>
      </c>
      <c r="H32" s="11"/>
      <c r="I32" s="13" t="s">
        <v>224</v>
      </c>
      <c r="J32" s="16"/>
      <c r="K32" s="11">
        <v>1113</v>
      </c>
      <c r="L32" s="11">
        <v>375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</row>
    <row r="33" spans="1:127" s="17" customFormat="1" ht="29.1">
      <c r="A33" s="14">
        <v>45947</v>
      </c>
      <c r="B33" s="15" t="s">
        <v>9</v>
      </c>
      <c r="C33" s="11" t="s">
        <v>212</v>
      </c>
      <c r="D33" s="11" t="s">
        <v>11</v>
      </c>
      <c r="E33" s="11" t="s">
        <v>15</v>
      </c>
      <c r="F33" s="11" t="s">
        <v>213</v>
      </c>
      <c r="G33" s="11" t="s">
        <v>225</v>
      </c>
      <c r="H33" s="11"/>
      <c r="I33" s="13" t="s">
        <v>226</v>
      </c>
      <c r="J33" s="16"/>
      <c r="K33" s="11">
        <v>1161</v>
      </c>
      <c r="L33" s="11">
        <v>566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</row>
    <row r="34" spans="1:127" s="17" customFormat="1" ht="72.599999999999994">
      <c r="A34" s="14">
        <v>45953</v>
      </c>
      <c r="B34" s="15" t="s">
        <v>9</v>
      </c>
      <c r="C34" s="11" t="s">
        <v>227</v>
      </c>
      <c r="D34" s="11" t="s">
        <v>11</v>
      </c>
      <c r="E34" s="11" t="s">
        <v>15</v>
      </c>
      <c r="F34" s="11" t="s">
        <v>228</v>
      </c>
      <c r="G34" s="11" t="s">
        <v>229</v>
      </c>
      <c r="H34" s="11"/>
      <c r="I34" s="13" t="s">
        <v>230</v>
      </c>
      <c r="J34" s="16"/>
      <c r="K34" s="11">
        <v>797</v>
      </c>
      <c r="L34" s="11">
        <v>356</v>
      </c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</row>
    <row r="35" spans="1:127" s="17" customFormat="1" ht="72.599999999999994">
      <c r="A35" s="14">
        <v>45953</v>
      </c>
      <c r="B35" s="15" t="s">
        <v>9</v>
      </c>
      <c r="C35" s="11" t="s">
        <v>227</v>
      </c>
      <c r="D35" s="11" t="s">
        <v>11</v>
      </c>
      <c r="E35" s="11" t="s">
        <v>15</v>
      </c>
      <c r="F35" s="11" t="s">
        <v>228</v>
      </c>
      <c r="G35" s="11" t="s">
        <v>231</v>
      </c>
      <c r="H35" s="11"/>
      <c r="I35" s="13" t="s">
        <v>232</v>
      </c>
      <c r="J35" s="16"/>
      <c r="K35" s="11">
        <v>263</v>
      </c>
      <c r="L35" s="11">
        <v>83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</row>
    <row r="36" spans="1:127" s="17" customFormat="1" ht="72.599999999999994">
      <c r="A36" s="14">
        <v>45953</v>
      </c>
      <c r="B36" s="15" t="s">
        <v>9</v>
      </c>
      <c r="C36" s="11" t="s">
        <v>227</v>
      </c>
      <c r="D36" s="11" t="s">
        <v>11</v>
      </c>
      <c r="E36" s="11" t="s">
        <v>15</v>
      </c>
      <c r="F36" s="11" t="s">
        <v>228</v>
      </c>
      <c r="G36" s="11" t="s">
        <v>233</v>
      </c>
      <c r="H36" s="11"/>
      <c r="I36" s="13" t="s">
        <v>234</v>
      </c>
      <c r="J36" s="16"/>
      <c r="K36" s="11">
        <v>17</v>
      </c>
      <c r="L36" s="11">
        <v>10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</row>
    <row r="37" spans="1:127">
      <c r="A37" s="14">
        <v>45953</v>
      </c>
      <c r="B37" s="15" t="s">
        <v>9</v>
      </c>
      <c r="C37" s="11" t="s">
        <v>227</v>
      </c>
      <c r="D37" s="11" t="s">
        <v>34</v>
      </c>
      <c r="E37" s="11" t="s">
        <v>15</v>
      </c>
      <c r="F37" s="11" t="s">
        <v>235</v>
      </c>
      <c r="G37" s="11" t="s">
        <v>236</v>
      </c>
      <c r="I37" s="13" t="s">
        <v>237</v>
      </c>
      <c r="K37" s="11">
        <v>437</v>
      </c>
      <c r="L37" s="11">
        <v>147</v>
      </c>
    </row>
    <row r="38" spans="1:127">
      <c r="A38" s="14">
        <v>45953</v>
      </c>
      <c r="B38" s="15" t="s">
        <v>9</v>
      </c>
      <c r="C38" s="11" t="s">
        <v>227</v>
      </c>
      <c r="D38" s="11" t="s">
        <v>34</v>
      </c>
      <c r="E38" s="11" t="s">
        <v>15</v>
      </c>
      <c r="F38" s="11" t="s">
        <v>235</v>
      </c>
      <c r="G38" s="11" t="s">
        <v>238</v>
      </c>
      <c r="I38" s="13" t="s">
        <v>239</v>
      </c>
      <c r="K38" s="11">
        <v>134</v>
      </c>
      <c r="L38" s="11">
        <v>53</v>
      </c>
    </row>
    <row r="39" spans="1:127">
      <c r="A39" s="14">
        <v>45953</v>
      </c>
      <c r="B39" s="15" t="s">
        <v>9</v>
      </c>
      <c r="C39" s="11" t="s">
        <v>227</v>
      </c>
      <c r="D39" s="11" t="s">
        <v>34</v>
      </c>
      <c r="E39" s="11" t="s">
        <v>15</v>
      </c>
      <c r="F39" s="11" t="s">
        <v>235</v>
      </c>
      <c r="G39" s="11" t="s">
        <v>240</v>
      </c>
      <c r="I39" s="13" t="s">
        <v>241</v>
      </c>
      <c r="K39" s="11">
        <v>5</v>
      </c>
      <c r="L39" s="11">
        <v>3</v>
      </c>
    </row>
    <row r="40" spans="1:127">
      <c r="A40" s="14">
        <v>45966</v>
      </c>
      <c r="B40" s="15" t="s">
        <v>9</v>
      </c>
      <c r="C40" s="11" t="s">
        <v>242</v>
      </c>
      <c r="D40" s="11" t="s">
        <v>11</v>
      </c>
      <c r="E40" s="11" t="s">
        <v>15</v>
      </c>
      <c r="F40" s="11" t="s">
        <v>243</v>
      </c>
      <c r="G40" s="11" t="s">
        <v>13</v>
      </c>
      <c r="I40" s="13" t="s">
        <v>244</v>
      </c>
      <c r="K40" s="11">
        <v>2869</v>
      </c>
      <c r="L40" s="11">
        <v>1270</v>
      </c>
    </row>
    <row r="41" spans="1:127">
      <c r="A41" s="14">
        <v>45966</v>
      </c>
      <c r="B41" s="15" t="s">
        <v>9</v>
      </c>
      <c r="C41" s="11" t="s">
        <v>242</v>
      </c>
      <c r="D41" s="11" t="s">
        <v>11</v>
      </c>
      <c r="E41" s="11" t="s">
        <v>15</v>
      </c>
      <c r="F41" s="11" t="s">
        <v>243</v>
      </c>
      <c r="G41" s="11" t="s">
        <v>16</v>
      </c>
      <c r="I41" s="13" t="s">
        <v>245</v>
      </c>
      <c r="K41" s="11">
        <v>3042</v>
      </c>
      <c r="L41" s="11">
        <v>1226</v>
      </c>
    </row>
    <row r="42" spans="1:127">
      <c r="A42" s="14">
        <v>45966</v>
      </c>
      <c r="B42" s="15" t="s">
        <v>9</v>
      </c>
      <c r="C42" s="11" t="s">
        <v>242</v>
      </c>
      <c r="D42" s="11" t="s">
        <v>11</v>
      </c>
      <c r="E42" s="11" t="s">
        <v>12</v>
      </c>
      <c r="F42" s="11" t="s">
        <v>243</v>
      </c>
      <c r="G42" s="11" t="s">
        <v>18</v>
      </c>
      <c r="I42" s="13" t="s">
        <v>246</v>
      </c>
      <c r="K42" s="11">
        <v>1711</v>
      </c>
      <c r="L42" s="11">
        <v>888</v>
      </c>
    </row>
    <row r="43" spans="1:127">
      <c r="A43" s="14">
        <v>45966</v>
      </c>
      <c r="B43" s="15" t="s">
        <v>19</v>
      </c>
      <c r="C43" s="11" t="s">
        <v>242</v>
      </c>
      <c r="D43" s="11" t="s">
        <v>11</v>
      </c>
      <c r="E43" s="11" t="s">
        <v>15</v>
      </c>
      <c r="F43" s="11" t="s">
        <v>243</v>
      </c>
      <c r="G43" s="11" t="s">
        <v>20</v>
      </c>
      <c r="I43" s="13" t="s">
        <v>247</v>
      </c>
      <c r="K43" s="11">
        <v>169</v>
      </c>
      <c r="L43" s="11">
        <v>63</v>
      </c>
    </row>
    <row r="44" spans="1:127">
      <c r="A44" s="14">
        <v>45966</v>
      </c>
      <c r="B44" s="15" t="s">
        <v>19</v>
      </c>
      <c r="C44" s="11" t="s">
        <v>242</v>
      </c>
      <c r="D44" s="11" t="s">
        <v>11</v>
      </c>
      <c r="E44" s="11" t="s">
        <v>15</v>
      </c>
      <c r="F44" s="11" t="s">
        <v>243</v>
      </c>
      <c r="G44" s="11" t="s">
        <v>21</v>
      </c>
      <c r="I44" s="13" t="s">
        <v>248</v>
      </c>
      <c r="K44" s="11">
        <v>220</v>
      </c>
      <c r="L44" s="11">
        <v>98</v>
      </c>
    </row>
    <row r="45" spans="1:127">
      <c r="A45" s="14">
        <v>45966</v>
      </c>
      <c r="B45" s="15" t="s">
        <v>22</v>
      </c>
      <c r="C45" s="11" t="s">
        <v>242</v>
      </c>
      <c r="D45" s="11" t="s">
        <v>11</v>
      </c>
      <c r="E45" s="11" t="s">
        <v>15</v>
      </c>
      <c r="F45" s="11" t="s">
        <v>243</v>
      </c>
      <c r="G45" s="11" t="s">
        <v>23</v>
      </c>
      <c r="I45" s="13" t="s">
        <v>249</v>
      </c>
      <c r="K45" s="11">
        <v>579</v>
      </c>
      <c r="L45" s="11">
        <v>196</v>
      </c>
    </row>
    <row r="46" spans="1:127">
      <c r="A46" s="14">
        <v>45966</v>
      </c>
      <c r="B46" s="15" t="s">
        <v>22</v>
      </c>
      <c r="C46" s="11" t="s">
        <v>242</v>
      </c>
      <c r="D46" s="11" t="s">
        <v>11</v>
      </c>
      <c r="E46" s="11" t="s">
        <v>15</v>
      </c>
      <c r="F46" s="11" t="s">
        <v>243</v>
      </c>
      <c r="G46" s="11" t="s">
        <v>24</v>
      </c>
      <c r="I46" s="13" t="s">
        <v>250</v>
      </c>
      <c r="K46" s="11">
        <v>781</v>
      </c>
      <c r="L46" s="11">
        <v>247</v>
      </c>
    </row>
    <row r="47" spans="1:127">
      <c r="A47" s="14">
        <v>45966</v>
      </c>
      <c r="B47" s="15" t="s">
        <v>25</v>
      </c>
      <c r="C47" s="11" t="s">
        <v>242</v>
      </c>
      <c r="D47" s="11" t="s">
        <v>11</v>
      </c>
      <c r="E47" s="11" t="s">
        <v>15</v>
      </c>
      <c r="F47" s="11" t="s">
        <v>243</v>
      </c>
      <c r="G47" s="11" t="s">
        <v>26</v>
      </c>
      <c r="I47" s="13" t="s">
        <v>251</v>
      </c>
      <c r="K47" s="11">
        <v>224</v>
      </c>
      <c r="L47" s="11">
        <v>55</v>
      </c>
    </row>
    <row r="48" spans="1:127">
      <c r="A48" s="14">
        <v>45966</v>
      </c>
      <c r="B48" s="15" t="s">
        <v>25</v>
      </c>
      <c r="C48" s="11" t="s">
        <v>242</v>
      </c>
      <c r="D48" s="11" t="s">
        <v>11</v>
      </c>
      <c r="E48" s="11" t="s">
        <v>15</v>
      </c>
      <c r="F48" s="11" t="s">
        <v>243</v>
      </c>
      <c r="G48" s="11" t="s">
        <v>27</v>
      </c>
      <c r="I48" s="13" t="s">
        <v>252</v>
      </c>
      <c r="K48" s="11">
        <v>351</v>
      </c>
      <c r="L48" s="11">
        <v>70</v>
      </c>
    </row>
    <row r="49" spans="1:12">
      <c r="A49" s="14">
        <v>45966</v>
      </c>
      <c r="B49" s="15" t="s">
        <v>19</v>
      </c>
      <c r="C49" s="11" t="s">
        <v>242</v>
      </c>
      <c r="D49" s="11" t="s">
        <v>11</v>
      </c>
      <c r="E49" s="11" t="s">
        <v>12</v>
      </c>
      <c r="F49" s="11" t="s">
        <v>243</v>
      </c>
      <c r="G49" s="11" t="s">
        <v>28</v>
      </c>
      <c r="I49" s="13" t="s">
        <v>253</v>
      </c>
      <c r="K49" s="11">
        <v>87</v>
      </c>
      <c r="L49" s="11">
        <v>52</v>
      </c>
    </row>
    <row r="50" spans="1:12">
      <c r="A50" s="14">
        <v>45966</v>
      </c>
      <c r="B50" s="15" t="s">
        <v>19</v>
      </c>
      <c r="C50" s="11" t="s">
        <v>242</v>
      </c>
      <c r="D50" s="11" t="s">
        <v>11</v>
      </c>
      <c r="E50" s="11" t="s">
        <v>12</v>
      </c>
      <c r="F50" s="11" t="s">
        <v>243</v>
      </c>
      <c r="G50" s="11" t="s">
        <v>29</v>
      </c>
      <c r="I50" s="13" t="s">
        <v>254</v>
      </c>
      <c r="K50" s="11">
        <v>170</v>
      </c>
      <c r="L50" s="11">
        <v>83</v>
      </c>
    </row>
    <row r="51" spans="1:12">
      <c r="A51" s="14">
        <v>45966</v>
      </c>
      <c r="B51" s="15" t="s">
        <v>22</v>
      </c>
      <c r="C51" s="11" t="s">
        <v>242</v>
      </c>
      <c r="D51" s="11" t="s">
        <v>11</v>
      </c>
      <c r="E51" s="11" t="s">
        <v>12</v>
      </c>
      <c r="F51" s="11" t="s">
        <v>243</v>
      </c>
      <c r="G51" s="11" t="s">
        <v>30</v>
      </c>
      <c r="I51" s="13" t="s">
        <v>255</v>
      </c>
      <c r="K51" s="11">
        <v>331</v>
      </c>
      <c r="L51" s="11">
        <v>167</v>
      </c>
    </row>
    <row r="52" spans="1:12">
      <c r="A52" s="14">
        <v>45966</v>
      </c>
      <c r="B52" s="15" t="s">
        <v>22</v>
      </c>
      <c r="C52" s="11" t="s">
        <v>242</v>
      </c>
      <c r="D52" s="11" t="s">
        <v>11</v>
      </c>
      <c r="E52" s="11" t="s">
        <v>12</v>
      </c>
      <c r="F52" s="11" t="s">
        <v>243</v>
      </c>
      <c r="G52" s="11" t="s">
        <v>31</v>
      </c>
      <c r="I52" s="13" t="s">
        <v>256</v>
      </c>
      <c r="K52" s="11">
        <v>347</v>
      </c>
      <c r="L52" s="11">
        <v>172</v>
      </c>
    </row>
    <row r="53" spans="1:12">
      <c r="A53" s="14">
        <v>45966</v>
      </c>
      <c r="B53" s="15" t="s">
        <v>25</v>
      </c>
      <c r="C53" s="11" t="s">
        <v>242</v>
      </c>
      <c r="D53" s="11" t="s">
        <v>11</v>
      </c>
      <c r="E53" s="11" t="s">
        <v>12</v>
      </c>
      <c r="F53" s="11" t="s">
        <v>243</v>
      </c>
      <c r="G53" s="11" t="s">
        <v>32</v>
      </c>
      <c r="I53" s="13" t="s">
        <v>257</v>
      </c>
      <c r="K53" s="11">
        <v>133</v>
      </c>
      <c r="L53" s="11">
        <v>69</v>
      </c>
    </row>
    <row r="54" spans="1:12">
      <c r="A54" s="14">
        <v>45966</v>
      </c>
      <c r="B54" s="15" t="s">
        <v>25</v>
      </c>
      <c r="C54" s="11" t="s">
        <v>242</v>
      </c>
      <c r="D54" s="11" t="s">
        <v>11</v>
      </c>
      <c r="E54" s="11" t="s">
        <v>12</v>
      </c>
      <c r="F54" s="11" t="s">
        <v>243</v>
      </c>
      <c r="G54" s="11" t="s">
        <v>33</v>
      </c>
      <c r="I54" s="13" t="s">
        <v>258</v>
      </c>
      <c r="K54" s="11">
        <v>184</v>
      </c>
      <c r="L54" s="11">
        <v>99</v>
      </c>
    </row>
    <row r="55" spans="1:12">
      <c r="A55" s="14">
        <v>45974</v>
      </c>
      <c r="B55" s="15" t="s">
        <v>9</v>
      </c>
      <c r="C55" s="11" t="s">
        <v>242</v>
      </c>
      <c r="D55" s="11" t="s">
        <v>34</v>
      </c>
      <c r="E55" s="11" t="s">
        <v>15</v>
      </c>
      <c r="F55" s="11" t="s">
        <v>259</v>
      </c>
      <c r="G55" s="11" t="s">
        <v>35</v>
      </c>
      <c r="I55" s="13" t="s">
        <v>260</v>
      </c>
      <c r="K55" s="11">
        <v>5038</v>
      </c>
      <c r="L55" s="11">
        <v>2360</v>
      </c>
    </row>
    <row r="56" spans="1:12">
      <c r="A56" s="14">
        <v>45974</v>
      </c>
      <c r="B56" s="15" t="s">
        <v>9</v>
      </c>
      <c r="C56" s="11" t="s">
        <v>242</v>
      </c>
      <c r="D56" s="11" t="s">
        <v>34</v>
      </c>
      <c r="E56" s="11" t="s">
        <v>12</v>
      </c>
      <c r="F56" s="11" t="s">
        <v>259</v>
      </c>
      <c r="G56" s="11" t="s">
        <v>43</v>
      </c>
      <c r="I56" s="13" t="s">
        <v>261</v>
      </c>
      <c r="K56" s="11">
        <v>1409</v>
      </c>
      <c r="L56" s="11">
        <v>730</v>
      </c>
    </row>
    <row r="57" spans="1:12">
      <c r="A57" s="14">
        <v>45979</v>
      </c>
      <c r="B57" s="15" t="s">
        <v>9</v>
      </c>
      <c r="C57" s="11" t="s">
        <v>56</v>
      </c>
      <c r="D57" s="11" t="s">
        <v>11</v>
      </c>
      <c r="E57" s="11" t="s">
        <v>15</v>
      </c>
      <c r="F57" s="11" t="s">
        <v>262</v>
      </c>
      <c r="G57" s="18" t="s">
        <v>57</v>
      </c>
      <c r="H57" s="18"/>
      <c r="I57" s="13" t="s">
        <v>239</v>
      </c>
      <c r="K57" s="11">
        <v>13905</v>
      </c>
      <c r="L57" s="11">
        <v>6562</v>
      </c>
    </row>
    <row r="58" spans="1:12">
      <c r="A58" s="14">
        <v>45979</v>
      </c>
      <c r="B58" s="15" t="s">
        <v>9</v>
      </c>
      <c r="C58" s="11" t="s">
        <v>56</v>
      </c>
      <c r="D58" s="11" t="s">
        <v>11</v>
      </c>
      <c r="E58" s="11" t="s">
        <v>15</v>
      </c>
      <c r="F58" s="11" t="s">
        <v>262</v>
      </c>
      <c r="G58" s="18" t="s">
        <v>58</v>
      </c>
      <c r="H58" s="18"/>
      <c r="I58" s="13" t="s">
        <v>263</v>
      </c>
      <c r="K58" s="11">
        <v>182</v>
      </c>
      <c r="L58" s="11">
        <v>100</v>
      </c>
    </row>
    <row r="59" spans="1:12" ht="29.1">
      <c r="A59" s="14">
        <v>45987</v>
      </c>
      <c r="B59" s="15" t="s">
        <v>9</v>
      </c>
      <c r="C59" s="11" t="s">
        <v>59</v>
      </c>
      <c r="D59" s="11" t="s">
        <v>11</v>
      </c>
      <c r="E59" s="11" t="s">
        <v>15</v>
      </c>
      <c r="F59" s="11" t="s">
        <v>264</v>
      </c>
      <c r="G59" s="18" t="s">
        <v>60</v>
      </c>
      <c r="H59" s="18"/>
      <c r="I59" s="13" t="s">
        <v>265</v>
      </c>
      <c r="K59" s="11">
        <v>3222</v>
      </c>
      <c r="L59" s="11">
        <v>1376</v>
      </c>
    </row>
    <row r="60" spans="1:12" ht="29.1">
      <c r="A60" s="14">
        <v>45987</v>
      </c>
      <c r="B60" s="15" t="s">
        <v>9</v>
      </c>
      <c r="C60" s="11" t="s">
        <v>59</v>
      </c>
      <c r="D60" s="11" t="s">
        <v>11</v>
      </c>
      <c r="E60" s="11" t="s">
        <v>15</v>
      </c>
      <c r="F60" s="11" t="s">
        <v>264</v>
      </c>
      <c r="G60" s="18" t="s">
        <v>61</v>
      </c>
      <c r="H60" s="18"/>
      <c r="I60" s="13" t="s">
        <v>266</v>
      </c>
      <c r="K60" s="11">
        <v>3719</v>
      </c>
      <c r="L60" s="11">
        <v>1485</v>
      </c>
    </row>
    <row r="61" spans="1:12" ht="29.1">
      <c r="A61" s="14">
        <v>45987</v>
      </c>
      <c r="B61" s="15" t="s">
        <v>9</v>
      </c>
      <c r="C61" s="11" t="s">
        <v>59</v>
      </c>
      <c r="D61" s="11" t="s">
        <v>11</v>
      </c>
      <c r="E61" s="11" t="s">
        <v>12</v>
      </c>
      <c r="F61" s="11" t="s">
        <v>264</v>
      </c>
      <c r="G61" s="18" t="s">
        <v>62</v>
      </c>
      <c r="H61" s="18"/>
      <c r="I61" s="13" t="s">
        <v>267</v>
      </c>
      <c r="K61" s="11">
        <v>1396</v>
      </c>
      <c r="L61" s="11">
        <v>712</v>
      </c>
    </row>
    <row r="62" spans="1:12" ht="29.1">
      <c r="A62" s="14">
        <v>45987</v>
      </c>
      <c r="B62" s="15" t="s">
        <v>19</v>
      </c>
      <c r="C62" s="11" t="s">
        <v>59</v>
      </c>
      <c r="D62" s="11" t="s">
        <v>11</v>
      </c>
      <c r="E62" s="11" t="s">
        <v>12</v>
      </c>
      <c r="F62" s="11" t="s">
        <v>264</v>
      </c>
      <c r="G62" s="18" t="s">
        <v>63</v>
      </c>
      <c r="H62" s="18"/>
      <c r="I62" s="13" t="s">
        <v>268</v>
      </c>
      <c r="K62" s="11">
        <v>334</v>
      </c>
      <c r="L62" s="11">
        <v>203</v>
      </c>
    </row>
    <row r="63" spans="1:12" ht="29.1">
      <c r="A63" s="14">
        <v>45987</v>
      </c>
      <c r="B63" s="15" t="s">
        <v>19</v>
      </c>
      <c r="C63" s="11" t="s">
        <v>59</v>
      </c>
      <c r="D63" s="11" t="s">
        <v>11</v>
      </c>
      <c r="E63" s="11" t="s">
        <v>12</v>
      </c>
      <c r="F63" s="11" t="s">
        <v>264</v>
      </c>
      <c r="G63" s="18" t="s">
        <v>64</v>
      </c>
      <c r="H63" s="18"/>
      <c r="I63" s="13" t="s">
        <v>269</v>
      </c>
      <c r="K63" s="11">
        <v>48</v>
      </c>
      <c r="L63" s="11">
        <v>17</v>
      </c>
    </row>
    <row r="64" spans="1:12" ht="29.1">
      <c r="A64" s="14">
        <v>45987</v>
      </c>
      <c r="B64" s="15" t="s">
        <v>19</v>
      </c>
      <c r="C64" s="11" t="s">
        <v>59</v>
      </c>
      <c r="D64" s="11" t="s">
        <v>11</v>
      </c>
      <c r="E64" s="11" t="s">
        <v>12</v>
      </c>
      <c r="F64" s="11" t="s">
        <v>264</v>
      </c>
      <c r="G64" s="18" t="s">
        <v>65</v>
      </c>
      <c r="H64" s="18"/>
      <c r="I64" s="13" t="s">
        <v>270</v>
      </c>
      <c r="K64" s="11">
        <v>63</v>
      </c>
      <c r="L64" s="11">
        <v>38</v>
      </c>
    </row>
    <row r="65" spans="1:14" ht="29.1">
      <c r="A65" s="14">
        <v>45987</v>
      </c>
      <c r="B65" s="15" t="s">
        <v>22</v>
      </c>
      <c r="C65" s="11" t="s">
        <v>59</v>
      </c>
      <c r="D65" s="11" t="s">
        <v>11</v>
      </c>
      <c r="E65" s="11" t="s">
        <v>12</v>
      </c>
      <c r="F65" s="11" t="s">
        <v>264</v>
      </c>
      <c r="G65" s="18" t="s">
        <v>66</v>
      </c>
      <c r="H65" s="18"/>
      <c r="I65" s="13" t="s">
        <v>271</v>
      </c>
      <c r="K65" s="11">
        <v>844</v>
      </c>
      <c r="L65" s="11">
        <v>453</v>
      </c>
    </row>
    <row r="66" spans="1:14" ht="29.1">
      <c r="A66" s="14">
        <v>45987</v>
      </c>
      <c r="B66" s="15" t="s">
        <v>22</v>
      </c>
      <c r="C66" s="11" t="s">
        <v>59</v>
      </c>
      <c r="D66" s="11" t="s">
        <v>11</v>
      </c>
      <c r="E66" s="11" t="s">
        <v>12</v>
      </c>
      <c r="F66" s="11" t="s">
        <v>264</v>
      </c>
      <c r="G66" s="18" t="s">
        <v>67</v>
      </c>
      <c r="H66" s="18"/>
      <c r="I66" s="13" t="s">
        <v>272</v>
      </c>
      <c r="K66" s="11">
        <v>73</v>
      </c>
      <c r="L66" s="11">
        <v>37</v>
      </c>
    </row>
    <row r="67" spans="1:14" ht="29.1">
      <c r="A67" s="14">
        <v>45987</v>
      </c>
      <c r="B67" s="15" t="s">
        <v>22</v>
      </c>
      <c r="C67" s="11" t="s">
        <v>59</v>
      </c>
      <c r="D67" s="11" t="s">
        <v>11</v>
      </c>
      <c r="E67" s="11" t="s">
        <v>12</v>
      </c>
      <c r="F67" s="11" t="s">
        <v>264</v>
      </c>
      <c r="G67" s="18" t="s">
        <v>68</v>
      </c>
      <c r="H67" s="18"/>
      <c r="I67" s="13" t="s">
        <v>273</v>
      </c>
      <c r="K67" s="11">
        <v>142</v>
      </c>
      <c r="L67" s="11">
        <v>85</v>
      </c>
    </row>
    <row r="68" spans="1:14">
      <c r="A68" s="14">
        <v>45992</v>
      </c>
      <c r="B68" s="15" t="s">
        <v>9</v>
      </c>
      <c r="C68" s="11" t="s">
        <v>59</v>
      </c>
      <c r="D68" s="11" t="s">
        <v>34</v>
      </c>
      <c r="E68" s="11" t="s">
        <v>15</v>
      </c>
      <c r="F68" s="11" t="s">
        <v>264</v>
      </c>
      <c r="G68" s="11" t="s">
        <v>69</v>
      </c>
      <c r="I68" s="13" t="s">
        <v>274</v>
      </c>
      <c r="K68" s="11">
        <v>5428</v>
      </c>
      <c r="L68" s="11">
        <v>2021</v>
      </c>
    </row>
    <row r="69" spans="1:14" ht="29.1">
      <c r="A69" s="14">
        <v>45993</v>
      </c>
      <c r="B69" s="15" t="s">
        <v>9</v>
      </c>
      <c r="C69" s="11" t="s">
        <v>59</v>
      </c>
      <c r="D69" s="11" t="s">
        <v>34</v>
      </c>
      <c r="E69" s="11" t="s">
        <v>12</v>
      </c>
      <c r="F69" s="11" t="s">
        <v>264</v>
      </c>
      <c r="G69" s="11" t="s">
        <v>70</v>
      </c>
      <c r="I69" s="13">
        <v>0.61</v>
      </c>
      <c r="K69" s="11">
        <v>1242</v>
      </c>
      <c r="L69" s="11">
        <v>590</v>
      </c>
    </row>
    <row r="70" spans="1:14" ht="29.1">
      <c r="A70" s="14">
        <v>45994</v>
      </c>
      <c r="B70" s="15" t="s">
        <v>19</v>
      </c>
      <c r="C70" s="11" t="s">
        <v>59</v>
      </c>
      <c r="D70" s="11" t="s">
        <v>34</v>
      </c>
      <c r="E70" s="11" t="s">
        <v>12</v>
      </c>
      <c r="F70" s="11" t="s">
        <v>264</v>
      </c>
      <c r="G70" s="11" t="s">
        <v>71</v>
      </c>
      <c r="I70" s="13" t="s">
        <v>275</v>
      </c>
      <c r="K70" s="11">
        <v>326</v>
      </c>
      <c r="L70" s="11">
        <v>216</v>
      </c>
    </row>
    <row r="71" spans="1:14" ht="29.1">
      <c r="A71" s="14">
        <v>45995</v>
      </c>
      <c r="B71" s="15" t="s">
        <v>19</v>
      </c>
      <c r="C71" s="11" t="s">
        <v>59</v>
      </c>
      <c r="D71" s="11" t="s">
        <v>34</v>
      </c>
      <c r="E71" s="11" t="s">
        <v>12</v>
      </c>
      <c r="F71" s="11" t="s">
        <v>264</v>
      </c>
      <c r="G71" s="11" t="s">
        <v>72</v>
      </c>
      <c r="I71" s="13" t="s">
        <v>276</v>
      </c>
      <c r="K71" s="11">
        <v>22</v>
      </c>
      <c r="L71" s="11">
        <v>18</v>
      </c>
    </row>
    <row r="72" spans="1:14" ht="29.1">
      <c r="A72" s="14">
        <v>45996</v>
      </c>
      <c r="B72" s="15" t="s">
        <v>19</v>
      </c>
      <c r="C72" s="11" t="s">
        <v>59</v>
      </c>
      <c r="D72" s="11" t="s">
        <v>34</v>
      </c>
      <c r="E72" s="11" t="s">
        <v>12</v>
      </c>
      <c r="F72" s="11" t="s">
        <v>264</v>
      </c>
      <c r="G72" s="11" t="s">
        <v>73</v>
      </c>
      <c r="I72" s="13">
        <v>0.36</v>
      </c>
      <c r="K72" s="11">
        <v>49</v>
      </c>
      <c r="L72" s="11">
        <v>36</v>
      </c>
    </row>
    <row r="73" spans="1:14" ht="29.1">
      <c r="A73" s="14">
        <v>45997</v>
      </c>
      <c r="B73" s="15" t="s">
        <v>22</v>
      </c>
      <c r="C73" s="11" t="s">
        <v>59</v>
      </c>
      <c r="D73" s="11" t="s">
        <v>34</v>
      </c>
      <c r="E73" s="11" t="s">
        <v>12</v>
      </c>
      <c r="F73" s="11" t="s">
        <v>264</v>
      </c>
      <c r="G73" s="11" t="s">
        <v>74</v>
      </c>
      <c r="I73" s="13" t="s">
        <v>277</v>
      </c>
      <c r="K73" s="11">
        <v>796</v>
      </c>
      <c r="L73" s="11">
        <v>440</v>
      </c>
    </row>
    <row r="74" spans="1:14" ht="29.1">
      <c r="A74" s="14">
        <v>45998</v>
      </c>
      <c r="B74" s="15" t="s">
        <v>22</v>
      </c>
      <c r="C74" s="11" t="s">
        <v>59</v>
      </c>
      <c r="D74" s="11" t="s">
        <v>34</v>
      </c>
      <c r="E74" s="11" t="s">
        <v>12</v>
      </c>
      <c r="F74" s="11" t="s">
        <v>264</v>
      </c>
      <c r="G74" s="11" t="s">
        <v>75</v>
      </c>
      <c r="I74" s="13" t="s">
        <v>278</v>
      </c>
      <c r="K74" s="11">
        <v>106</v>
      </c>
      <c r="L74" s="11">
        <v>58</v>
      </c>
    </row>
    <row r="75" spans="1:14" ht="29.1">
      <c r="A75" s="14">
        <v>45999</v>
      </c>
      <c r="B75" s="15" t="s">
        <v>22</v>
      </c>
      <c r="C75" s="11" t="s">
        <v>59</v>
      </c>
      <c r="D75" s="11" t="s">
        <v>34</v>
      </c>
      <c r="E75" s="11" t="s">
        <v>12</v>
      </c>
      <c r="F75" s="11" t="s">
        <v>264</v>
      </c>
      <c r="G75" s="11" t="s">
        <v>76</v>
      </c>
      <c r="I75" s="13" t="s">
        <v>279</v>
      </c>
      <c r="K75" s="11">
        <v>72</v>
      </c>
      <c r="L75" s="11">
        <v>47</v>
      </c>
    </row>
    <row r="76" spans="1:14">
      <c r="A76" s="3">
        <v>46002</v>
      </c>
      <c r="B76" s="15" t="s">
        <v>9</v>
      </c>
      <c r="C76" s="11" t="s">
        <v>77</v>
      </c>
      <c r="D76" s="11" t="s">
        <v>11</v>
      </c>
      <c r="E76" s="11" t="s">
        <v>12</v>
      </c>
      <c r="F76" s="11" t="s">
        <v>146</v>
      </c>
      <c r="G76" s="38" t="s">
        <v>78</v>
      </c>
      <c r="H76" s="10" t="s">
        <v>280</v>
      </c>
      <c r="I76" s="13" t="s">
        <v>281</v>
      </c>
      <c r="J76" s="16" t="s">
        <v>282</v>
      </c>
      <c r="K76" s="11">
        <v>2562</v>
      </c>
      <c r="L76" s="11">
        <v>1191</v>
      </c>
      <c r="M76" s="11" t="s">
        <v>283</v>
      </c>
      <c r="N76" s="11" t="s">
        <v>284</v>
      </c>
    </row>
    <row r="77" spans="1:14">
      <c r="A77" s="3">
        <v>46002</v>
      </c>
      <c r="B77" s="15" t="s">
        <v>79</v>
      </c>
      <c r="C77" s="11" t="s">
        <v>77</v>
      </c>
      <c r="D77" s="11" t="s">
        <v>11</v>
      </c>
      <c r="E77" s="11" t="s">
        <v>12</v>
      </c>
      <c r="F77" s="11" t="s">
        <v>146</v>
      </c>
      <c r="G77" s="38" t="s">
        <v>80</v>
      </c>
      <c r="H77" s="11" t="s">
        <v>285</v>
      </c>
      <c r="I77" s="13" t="s">
        <v>286</v>
      </c>
      <c r="J77" s="12" t="s">
        <v>287</v>
      </c>
      <c r="K77" s="11">
        <v>261</v>
      </c>
      <c r="L77" s="11">
        <v>142</v>
      </c>
      <c r="M77" s="11" t="s">
        <v>288</v>
      </c>
      <c r="N77" s="11" t="s">
        <v>289</v>
      </c>
    </row>
    <row r="78" spans="1:14">
      <c r="A78" s="3">
        <v>46002</v>
      </c>
      <c r="B78" s="15" t="s">
        <v>79</v>
      </c>
      <c r="C78" s="11" t="s">
        <v>77</v>
      </c>
      <c r="D78" s="11" t="s">
        <v>11</v>
      </c>
      <c r="E78" s="11" t="s">
        <v>12</v>
      </c>
      <c r="F78" s="11" t="s">
        <v>146</v>
      </c>
      <c r="G78" s="38" t="s">
        <v>290</v>
      </c>
      <c r="H78" s="11" t="s">
        <v>291</v>
      </c>
      <c r="I78" s="13" t="s">
        <v>292</v>
      </c>
      <c r="J78" s="16" t="s">
        <v>293</v>
      </c>
      <c r="K78" s="11">
        <v>242</v>
      </c>
      <c r="L78" s="11">
        <v>139</v>
      </c>
      <c r="M78" s="11" t="s">
        <v>294</v>
      </c>
      <c r="N78" s="11" t="s">
        <v>285</v>
      </c>
    </row>
    <row r="79" spans="1:14">
      <c r="A79" s="3">
        <v>46002</v>
      </c>
      <c r="B79" s="15" t="s">
        <v>19</v>
      </c>
      <c r="C79" s="11" t="s">
        <v>77</v>
      </c>
      <c r="D79" s="11" t="s">
        <v>11</v>
      </c>
      <c r="E79" s="11" t="s">
        <v>12</v>
      </c>
      <c r="F79" s="11" t="s">
        <v>146</v>
      </c>
      <c r="G79" s="38" t="s">
        <v>82</v>
      </c>
      <c r="H79" s="11" t="s">
        <v>295</v>
      </c>
      <c r="I79" s="13" t="s">
        <v>296</v>
      </c>
      <c r="J79" s="16" t="s">
        <v>297</v>
      </c>
      <c r="K79" s="11">
        <v>277</v>
      </c>
      <c r="L79" s="11">
        <v>168</v>
      </c>
      <c r="M79" s="11" t="s">
        <v>298</v>
      </c>
      <c r="N79" s="11" t="s">
        <v>299</v>
      </c>
    </row>
    <row r="80" spans="1:14">
      <c r="A80" s="3">
        <v>46002</v>
      </c>
      <c r="B80" s="15" t="s">
        <v>19</v>
      </c>
      <c r="C80" s="11" t="s">
        <v>77</v>
      </c>
      <c r="D80" s="11" t="s">
        <v>11</v>
      </c>
      <c r="E80" s="11" t="s">
        <v>12</v>
      </c>
      <c r="F80" s="11" t="s">
        <v>146</v>
      </c>
      <c r="G80" s="38" t="s">
        <v>300</v>
      </c>
      <c r="H80" s="11" t="s">
        <v>291</v>
      </c>
      <c r="I80" s="13" t="s">
        <v>301</v>
      </c>
      <c r="J80" s="16" t="s">
        <v>302</v>
      </c>
      <c r="K80" s="11">
        <v>262</v>
      </c>
      <c r="L80" s="11">
        <v>124</v>
      </c>
      <c r="M80" s="11" t="s">
        <v>303</v>
      </c>
      <c r="N80" s="11" t="s">
        <v>304</v>
      </c>
    </row>
    <row r="81" spans="1:14">
      <c r="A81" s="3">
        <v>46002</v>
      </c>
      <c r="B81" s="15" t="s">
        <v>84</v>
      </c>
      <c r="C81" s="11" t="s">
        <v>77</v>
      </c>
      <c r="D81" s="11" t="s">
        <v>11</v>
      </c>
      <c r="E81" s="11" t="s">
        <v>12</v>
      </c>
      <c r="F81" s="11" t="s">
        <v>146</v>
      </c>
      <c r="G81" s="38" t="s">
        <v>85</v>
      </c>
      <c r="H81" s="11" t="s">
        <v>305</v>
      </c>
      <c r="I81" s="13" t="s">
        <v>306</v>
      </c>
      <c r="J81" s="16" t="s">
        <v>307</v>
      </c>
      <c r="K81" s="11">
        <v>191</v>
      </c>
      <c r="L81" s="11">
        <v>105</v>
      </c>
      <c r="M81" s="11" t="s">
        <v>308</v>
      </c>
      <c r="N81" s="11" t="s">
        <v>309</v>
      </c>
    </row>
    <row r="82" spans="1:14">
      <c r="A82" s="3">
        <v>46002</v>
      </c>
      <c r="B82" s="15" t="s">
        <v>84</v>
      </c>
      <c r="C82" s="11" t="s">
        <v>77</v>
      </c>
      <c r="D82" s="11" t="s">
        <v>11</v>
      </c>
      <c r="E82" s="11" t="s">
        <v>12</v>
      </c>
      <c r="F82" s="11" t="s">
        <v>146</v>
      </c>
      <c r="G82" s="38" t="s">
        <v>310</v>
      </c>
      <c r="H82" s="11" t="s">
        <v>311</v>
      </c>
      <c r="I82" s="13" t="s">
        <v>312</v>
      </c>
      <c r="J82" s="16" t="s">
        <v>313</v>
      </c>
      <c r="K82" s="11">
        <v>114</v>
      </c>
      <c r="L82" s="11">
        <v>60</v>
      </c>
      <c r="M82" s="11" t="s">
        <v>308</v>
      </c>
      <c r="N82" s="11" t="s">
        <v>314</v>
      </c>
    </row>
    <row r="83" spans="1:14">
      <c r="A83" s="3">
        <v>46002</v>
      </c>
      <c r="B83" s="15" t="s">
        <v>22</v>
      </c>
      <c r="C83" s="11" t="s">
        <v>77</v>
      </c>
      <c r="D83" s="11" t="s">
        <v>11</v>
      </c>
      <c r="E83" s="11" t="s">
        <v>12</v>
      </c>
      <c r="F83" s="11" t="s">
        <v>146</v>
      </c>
      <c r="G83" s="38" t="s">
        <v>87</v>
      </c>
      <c r="H83" s="11" t="s">
        <v>315</v>
      </c>
      <c r="I83" s="13" t="s">
        <v>316</v>
      </c>
      <c r="J83" s="16" t="s">
        <v>317</v>
      </c>
      <c r="K83" s="11">
        <v>739</v>
      </c>
      <c r="L83" s="11">
        <v>412</v>
      </c>
      <c r="M83" s="11" t="s">
        <v>318</v>
      </c>
      <c r="N83" s="11" t="s">
        <v>319</v>
      </c>
    </row>
    <row r="84" spans="1:14">
      <c r="A84" s="3">
        <v>46002</v>
      </c>
      <c r="B84" s="15" t="s">
        <v>22</v>
      </c>
      <c r="C84" s="11" t="s">
        <v>77</v>
      </c>
      <c r="D84" s="11" t="s">
        <v>11</v>
      </c>
      <c r="E84" s="11" t="s">
        <v>12</v>
      </c>
      <c r="F84" s="11" t="s">
        <v>146</v>
      </c>
      <c r="G84" s="38" t="s">
        <v>320</v>
      </c>
      <c r="H84" s="11" t="s">
        <v>319</v>
      </c>
      <c r="I84" s="13" t="s">
        <v>321</v>
      </c>
      <c r="J84" s="16" t="s">
        <v>322</v>
      </c>
      <c r="K84" s="11">
        <v>330</v>
      </c>
      <c r="L84" s="11">
        <v>222</v>
      </c>
      <c r="M84" s="11" t="s">
        <v>318</v>
      </c>
      <c r="N84" s="11" t="s">
        <v>311</v>
      </c>
    </row>
    <row r="85" spans="1:14">
      <c r="A85" s="3">
        <v>46002</v>
      </c>
      <c r="B85" s="15" t="s">
        <v>25</v>
      </c>
      <c r="C85" s="11" t="s">
        <v>77</v>
      </c>
      <c r="D85" s="11" t="s">
        <v>11</v>
      </c>
      <c r="E85" s="11" t="s">
        <v>12</v>
      </c>
      <c r="F85" s="11" t="s">
        <v>146</v>
      </c>
      <c r="G85" s="38" t="s">
        <v>89</v>
      </c>
      <c r="H85" s="43" t="s">
        <v>323</v>
      </c>
      <c r="I85" s="13" t="s">
        <v>324</v>
      </c>
      <c r="J85" s="16" t="s">
        <v>325</v>
      </c>
      <c r="K85" s="11">
        <v>384</v>
      </c>
      <c r="L85" s="11">
        <v>212</v>
      </c>
      <c r="M85" s="11" t="s">
        <v>326</v>
      </c>
      <c r="N85" s="11" t="s">
        <v>285</v>
      </c>
    </row>
    <row r="86" spans="1:14">
      <c r="A86" s="3">
        <v>46002</v>
      </c>
      <c r="B86" s="15" t="s">
        <v>25</v>
      </c>
      <c r="C86" s="11" t="s">
        <v>77</v>
      </c>
      <c r="D86" s="11" t="s">
        <v>11</v>
      </c>
      <c r="E86" s="11" t="s">
        <v>12</v>
      </c>
      <c r="F86" s="11" t="s">
        <v>146</v>
      </c>
      <c r="G86" s="38" t="s">
        <v>327</v>
      </c>
      <c r="H86" s="11" t="s">
        <v>328</v>
      </c>
      <c r="I86" s="13" t="s">
        <v>329</v>
      </c>
      <c r="J86" s="16" t="s">
        <v>330</v>
      </c>
      <c r="K86" s="11">
        <v>242</v>
      </c>
      <c r="L86" s="11">
        <v>140</v>
      </c>
      <c r="M86" s="11" t="s">
        <v>318</v>
      </c>
      <c r="N86" s="11" t="s">
        <v>289</v>
      </c>
    </row>
    <row r="87" spans="1:14" ht="16.5" customHeight="1">
      <c r="A87" s="3">
        <v>46005</v>
      </c>
      <c r="B87" s="15" t="s">
        <v>9</v>
      </c>
      <c r="C87" s="11" t="s">
        <v>77</v>
      </c>
      <c r="D87" s="11" t="s">
        <v>34</v>
      </c>
      <c r="E87" s="11" t="s">
        <v>12</v>
      </c>
      <c r="F87" s="11" t="s">
        <v>331</v>
      </c>
      <c r="G87" s="38" t="s">
        <v>91</v>
      </c>
      <c r="H87" s="11" t="s">
        <v>332</v>
      </c>
      <c r="I87" s="13" t="s">
        <v>333</v>
      </c>
      <c r="J87" s="16" t="s">
        <v>334</v>
      </c>
      <c r="K87" s="11">
        <v>695</v>
      </c>
      <c r="L87" s="11">
        <v>374</v>
      </c>
      <c r="M87" s="11" t="s">
        <v>335</v>
      </c>
      <c r="N87" s="11" t="s">
        <v>336</v>
      </c>
    </row>
    <row r="88" spans="1:14">
      <c r="A88" s="3">
        <v>46005</v>
      </c>
      <c r="B88" s="15" t="s">
        <v>79</v>
      </c>
      <c r="C88" s="11" t="s">
        <v>77</v>
      </c>
      <c r="D88" s="11" t="s">
        <v>34</v>
      </c>
      <c r="E88" s="11" t="s">
        <v>12</v>
      </c>
      <c r="F88" s="11" t="s">
        <v>331</v>
      </c>
      <c r="G88" s="38" t="s">
        <v>337</v>
      </c>
      <c r="H88" s="11" t="s">
        <v>285</v>
      </c>
      <c r="I88" s="13" t="s">
        <v>338</v>
      </c>
      <c r="J88" s="16" t="s">
        <v>339</v>
      </c>
      <c r="K88" s="11">
        <v>268</v>
      </c>
      <c r="L88" s="11">
        <v>146</v>
      </c>
      <c r="M88" s="11" t="s">
        <v>340</v>
      </c>
      <c r="N88" s="11" t="s">
        <v>299</v>
      </c>
    </row>
    <row r="89" spans="1:14">
      <c r="A89" s="3">
        <v>46005</v>
      </c>
      <c r="B89" s="15" t="s">
        <v>79</v>
      </c>
      <c r="C89" s="11" t="s">
        <v>77</v>
      </c>
      <c r="D89" s="11" t="s">
        <v>34</v>
      </c>
      <c r="E89" s="11" t="s">
        <v>12</v>
      </c>
      <c r="F89" s="11" t="s">
        <v>331</v>
      </c>
      <c r="G89" s="38" t="s">
        <v>341</v>
      </c>
      <c r="H89" s="11" t="s">
        <v>309</v>
      </c>
      <c r="I89" s="13" t="s">
        <v>342</v>
      </c>
      <c r="J89" s="16" t="s">
        <v>343</v>
      </c>
      <c r="K89" s="11">
        <v>60</v>
      </c>
      <c r="L89" s="11">
        <v>41</v>
      </c>
      <c r="M89" s="11" t="s">
        <v>335</v>
      </c>
      <c r="N89" s="11" t="s">
        <v>314</v>
      </c>
    </row>
    <row r="90" spans="1:14">
      <c r="A90" s="3">
        <v>46005</v>
      </c>
      <c r="B90" s="15" t="s">
        <v>19</v>
      </c>
      <c r="C90" s="11" t="s">
        <v>77</v>
      </c>
      <c r="D90" s="11" t="s">
        <v>34</v>
      </c>
      <c r="E90" s="11" t="s">
        <v>12</v>
      </c>
      <c r="F90" s="11" t="s">
        <v>331</v>
      </c>
      <c r="G90" s="38" t="s">
        <v>344</v>
      </c>
      <c r="H90" s="11" t="s">
        <v>319</v>
      </c>
      <c r="I90" s="13" t="s">
        <v>345</v>
      </c>
      <c r="J90" s="16" t="s">
        <v>346</v>
      </c>
      <c r="K90" s="11">
        <v>359</v>
      </c>
      <c r="L90" s="11">
        <v>219</v>
      </c>
      <c r="M90" s="11" t="s">
        <v>347</v>
      </c>
      <c r="N90" s="11" t="s">
        <v>309</v>
      </c>
    </row>
    <row r="91" spans="1:14">
      <c r="A91" s="3">
        <v>46005</v>
      </c>
      <c r="B91" s="15" t="s">
        <v>19</v>
      </c>
      <c r="C91" s="11" t="s">
        <v>77</v>
      </c>
      <c r="D91" s="11" t="s">
        <v>34</v>
      </c>
      <c r="E91" s="11" t="s">
        <v>12</v>
      </c>
      <c r="F91" s="11" t="s">
        <v>331</v>
      </c>
      <c r="G91" s="38" t="s">
        <v>348</v>
      </c>
      <c r="H91" s="11" t="s">
        <v>285</v>
      </c>
      <c r="I91" s="13" t="s">
        <v>349</v>
      </c>
      <c r="J91" s="16" t="s">
        <v>350</v>
      </c>
      <c r="K91" s="11">
        <v>138</v>
      </c>
      <c r="L91" s="11">
        <v>87</v>
      </c>
      <c r="M91" s="11" t="s">
        <v>351</v>
      </c>
      <c r="N91" s="11" t="s">
        <v>314</v>
      </c>
    </row>
    <row r="92" spans="1:14">
      <c r="A92" s="3">
        <v>46005</v>
      </c>
      <c r="B92" s="15" t="s">
        <v>84</v>
      </c>
      <c r="C92" s="11" t="s">
        <v>77</v>
      </c>
      <c r="D92" s="11" t="s">
        <v>34</v>
      </c>
      <c r="E92" s="11" t="s">
        <v>12</v>
      </c>
      <c r="F92" s="11" t="s">
        <v>331</v>
      </c>
      <c r="G92" s="38" t="s">
        <v>352</v>
      </c>
      <c r="H92" s="11" t="s">
        <v>291</v>
      </c>
      <c r="I92" s="13" t="s">
        <v>353</v>
      </c>
      <c r="J92" s="16" t="s">
        <v>354</v>
      </c>
      <c r="K92" s="11">
        <v>230</v>
      </c>
      <c r="L92" s="11">
        <v>132</v>
      </c>
      <c r="M92" s="11" t="s">
        <v>318</v>
      </c>
      <c r="N92" s="11" t="s">
        <v>314</v>
      </c>
    </row>
    <row r="93" spans="1:14">
      <c r="A93" s="3">
        <v>46005</v>
      </c>
      <c r="B93" s="15" t="s">
        <v>84</v>
      </c>
      <c r="C93" s="11" t="s">
        <v>77</v>
      </c>
      <c r="D93" s="11" t="s">
        <v>34</v>
      </c>
      <c r="E93" s="11" t="s">
        <v>12</v>
      </c>
      <c r="F93" s="11" t="s">
        <v>331</v>
      </c>
      <c r="G93" s="38" t="s">
        <v>355</v>
      </c>
      <c r="H93" s="11" t="s">
        <v>299</v>
      </c>
      <c r="I93" s="13" t="s">
        <v>356</v>
      </c>
      <c r="J93" s="16" t="s">
        <v>357</v>
      </c>
      <c r="K93" s="11">
        <v>91</v>
      </c>
      <c r="L93" s="11">
        <v>57</v>
      </c>
      <c r="M93" s="11" t="s">
        <v>358</v>
      </c>
      <c r="N93" s="11" t="s">
        <v>304</v>
      </c>
    </row>
    <row r="94" spans="1:14">
      <c r="A94" s="3">
        <v>46005</v>
      </c>
      <c r="B94" s="15" t="s">
        <v>22</v>
      </c>
      <c r="C94" s="11" t="s">
        <v>77</v>
      </c>
      <c r="D94" s="11" t="s">
        <v>34</v>
      </c>
      <c r="E94" s="11" t="s">
        <v>12</v>
      </c>
      <c r="F94" s="11" t="s">
        <v>331</v>
      </c>
      <c r="G94" s="38" t="s">
        <v>359</v>
      </c>
      <c r="H94" s="11" t="s">
        <v>360</v>
      </c>
      <c r="I94" s="13" t="s">
        <v>361</v>
      </c>
      <c r="J94" s="16" t="s">
        <v>362</v>
      </c>
      <c r="K94" s="11">
        <v>943</v>
      </c>
      <c r="L94" s="11">
        <v>483</v>
      </c>
      <c r="M94" s="11" t="s">
        <v>363</v>
      </c>
      <c r="N94" s="11" t="s">
        <v>291</v>
      </c>
    </row>
    <row r="95" spans="1:14">
      <c r="A95" s="3">
        <v>46005</v>
      </c>
      <c r="B95" s="15" t="s">
        <v>22</v>
      </c>
      <c r="C95" s="11" t="s">
        <v>77</v>
      </c>
      <c r="D95" s="11" t="s">
        <v>34</v>
      </c>
      <c r="E95" s="11" t="s">
        <v>12</v>
      </c>
      <c r="F95" s="11" t="s">
        <v>331</v>
      </c>
      <c r="G95" s="38" t="s">
        <v>364</v>
      </c>
      <c r="H95" s="11" t="s">
        <v>336</v>
      </c>
      <c r="I95" s="13" t="s">
        <v>365</v>
      </c>
      <c r="J95" s="16" t="s">
        <v>366</v>
      </c>
      <c r="K95" s="11">
        <v>196</v>
      </c>
      <c r="L95" s="11">
        <v>112</v>
      </c>
      <c r="M95" s="11" t="s">
        <v>367</v>
      </c>
      <c r="N95" s="11" t="s">
        <v>304</v>
      </c>
    </row>
    <row r="96" spans="1:14">
      <c r="A96" s="3">
        <v>46005</v>
      </c>
      <c r="B96" s="15" t="s">
        <v>25</v>
      </c>
      <c r="C96" s="11" t="s">
        <v>77</v>
      </c>
      <c r="D96" s="11" t="s">
        <v>34</v>
      </c>
      <c r="E96" s="11" t="s">
        <v>12</v>
      </c>
      <c r="F96" s="11" t="s">
        <v>331</v>
      </c>
      <c r="G96" s="38" t="s">
        <v>368</v>
      </c>
      <c r="H96" s="11" t="s">
        <v>369</v>
      </c>
      <c r="I96" s="13" t="s">
        <v>370</v>
      </c>
      <c r="J96" s="16" t="s">
        <v>371</v>
      </c>
      <c r="K96" s="11">
        <v>496</v>
      </c>
      <c r="L96" s="11">
        <v>279</v>
      </c>
      <c r="M96" s="11" t="s">
        <v>367</v>
      </c>
      <c r="N96" s="11" t="s">
        <v>372</v>
      </c>
    </row>
    <row r="97" spans="1:14">
      <c r="A97" s="3">
        <v>46005</v>
      </c>
      <c r="B97" s="15" t="s">
        <v>25</v>
      </c>
      <c r="C97" s="11" t="s">
        <v>77</v>
      </c>
      <c r="D97" s="11" t="s">
        <v>34</v>
      </c>
      <c r="E97" s="11" t="s">
        <v>12</v>
      </c>
      <c r="F97" s="11" t="s">
        <v>331</v>
      </c>
      <c r="G97" s="38" t="s">
        <v>373</v>
      </c>
      <c r="H97" s="11" t="s">
        <v>328</v>
      </c>
      <c r="I97" s="13" t="s">
        <v>374</v>
      </c>
      <c r="J97" s="16" t="s">
        <v>307</v>
      </c>
      <c r="K97" s="11">
        <v>159</v>
      </c>
      <c r="L97" s="11">
        <v>102</v>
      </c>
      <c r="M97" s="11" t="s">
        <v>375</v>
      </c>
      <c r="N97" s="11" t="s">
        <v>309</v>
      </c>
    </row>
    <row r="98" spans="1:14">
      <c r="A98" s="3">
        <v>46009</v>
      </c>
      <c r="B98" s="15" t="s">
        <v>9</v>
      </c>
      <c r="C98" s="11" t="s">
        <v>102</v>
      </c>
      <c r="D98" s="11" t="s">
        <v>11</v>
      </c>
      <c r="E98" s="11" t="s">
        <v>15</v>
      </c>
      <c r="F98" s="11" t="s">
        <v>146</v>
      </c>
      <c r="G98" s="38" t="s">
        <v>103</v>
      </c>
      <c r="H98" s="11">
        <v>162499</v>
      </c>
      <c r="I98" s="13" t="s">
        <v>376</v>
      </c>
      <c r="J98" s="16" t="s">
        <v>377</v>
      </c>
      <c r="K98" s="11">
        <v>5226</v>
      </c>
      <c r="L98" s="11">
        <v>1764</v>
      </c>
      <c r="M98" s="11" t="s">
        <v>378</v>
      </c>
      <c r="N98" s="11" t="s">
        <v>379</v>
      </c>
    </row>
    <row r="99" spans="1:14">
      <c r="A99" s="3">
        <v>46009</v>
      </c>
      <c r="B99" s="15" t="s">
        <v>9</v>
      </c>
      <c r="C99" s="11" t="s">
        <v>104</v>
      </c>
      <c r="D99" s="11" t="s">
        <v>11</v>
      </c>
      <c r="E99" s="11" t="s">
        <v>12</v>
      </c>
      <c r="F99" s="11" t="s">
        <v>146</v>
      </c>
      <c r="G99" s="38" t="s">
        <v>105</v>
      </c>
      <c r="H99" s="11">
        <v>64025</v>
      </c>
      <c r="I99" s="13" t="s">
        <v>380</v>
      </c>
      <c r="J99" s="16" t="s">
        <v>381</v>
      </c>
      <c r="K99" s="11">
        <v>1870</v>
      </c>
      <c r="L99" s="11">
        <v>947</v>
      </c>
      <c r="M99" s="11" t="s">
        <v>340</v>
      </c>
      <c r="N99" s="11" t="s">
        <v>382</v>
      </c>
    </row>
    <row r="100" spans="1:14" s="50" customFormat="1" ht="15">
      <c r="A100" s="3">
        <v>46021</v>
      </c>
      <c r="B100" s="49" t="s">
        <v>9</v>
      </c>
      <c r="C100" s="50" t="s">
        <v>106</v>
      </c>
      <c r="D100" s="50" t="s">
        <v>11</v>
      </c>
      <c r="E100" s="50" t="s">
        <v>15</v>
      </c>
      <c r="F100" s="50" t="s">
        <v>383</v>
      </c>
      <c r="G100" s="39" t="s">
        <v>107</v>
      </c>
      <c r="H100" s="50">
        <v>281014</v>
      </c>
      <c r="I100" s="51" t="s">
        <v>384</v>
      </c>
      <c r="J100" s="52" t="s">
        <v>385</v>
      </c>
      <c r="K100" s="50">
        <v>4867</v>
      </c>
      <c r="L100" s="50">
        <v>1434</v>
      </c>
      <c r="M100" s="50" t="s">
        <v>386</v>
      </c>
      <c r="N100" s="50" t="s">
        <v>372</v>
      </c>
    </row>
    <row r="101" spans="1:14" s="50" customFormat="1" ht="15">
      <c r="A101" s="3"/>
      <c r="B101" s="49"/>
      <c r="G101" s="39"/>
      <c r="I101" s="51"/>
      <c r="J101" s="52"/>
    </row>
  </sheetData>
  <phoneticPr fontId="3" type="noConversion"/>
  <conditionalFormatting sqref="G1:G1048576">
    <cfRule type="expression" dxfId="63" priority="1">
      <formula>$E1="privilege"</formula>
    </cfRule>
  </conditionalFormatting>
  <dataValidations count="6">
    <dataValidation type="list" allowBlank="1" showInputMessage="1" showErrorMessage="1" sqref="B2:B101" xr:uid="{8B253502-6AEC-4908-A8F2-D7878CAEFC3F}">
      <formula1>"COM,AU,NZ,FR,UK,IE,PT,IT,ES,DE,NO,BE,BF,BN"</formula1>
    </dataValidation>
    <dataValidation type="list" allowBlank="1" showInputMessage="1" showErrorMessage="1" sqref="D2:D75" xr:uid="{CFA8F895-DF7D-4F41-AD31-7C2CA0721E57}">
      <formula1>"Launch,Repush,Lastcall"</formula1>
    </dataValidation>
    <dataValidation type="list" allowBlank="1" showInputMessage="1" showErrorMessage="1" sqref="E2:E75" xr:uid="{3F776BEC-D9A0-4963-BF12-B42825542B76}">
      <formula1>"Public,Privilege"</formula1>
    </dataValidation>
    <dataValidation type="list" allowBlank="1" showInputMessage="1" showErrorMessage="1" sqref="O2" xr:uid="{667482C8-791E-4509-9FE0-383B9510CE80}">
      <formula1>"Template,Subject,Visual,Content,Blocks,Sending Time"</formula1>
    </dataValidation>
    <dataValidation type="list" allowBlank="1" showInputMessage="1" showErrorMessage="1" sqref="D76:D101" xr:uid="{9F5BCEC2-6756-48C5-83DC-15416CB43ACB}">
      <formula1>"Launch, Repush, Lastcall"</formula1>
    </dataValidation>
    <dataValidation type="list" showInputMessage="1" showErrorMessage="1" sqref="E76:E101" xr:uid="{24254BE1-F93B-405E-B951-6D85B20F87A7}">
      <formula1>"Public, Privilege"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8652-FEBC-4BC5-889B-FBA94B37773F}">
  <sheetPr codeName="Feuil3"/>
  <dimension ref="A1:U86"/>
  <sheetViews>
    <sheetView topLeftCell="A69" zoomScale="80" zoomScaleNormal="80" workbookViewId="0">
      <selection activeCell="B93" sqref="B93"/>
    </sheetView>
  </sheetViews>
  <sheetFormatPr defaultColWidth="11.42578125" defaultRowHeight="14.45"/>
  <cols>
    <col min="1" max="1" width="28.42578125" style="25" bestFit="1" customWidth="1"/>
    <col min="2" max="2" width="102.5703125" style="25" bestFit="1" customWidth="1"/>
    <col min="3" max="3" width="15.5703125" style="25" bestFit="1" customWidth="1"/>
    <col min="4" max="4" width="15.140625" style="25" bestFit="1" customWidth="1"/>
    <col min="5" max="5" width="21.85546875" style="25" bestFit="1" customWidth="1"/>
    <col min="6" max="6" width="15.85546875" style="25" bestFit="1" customWidth="1"/>
    <col min="7" max="7" width="26.140625" style="34" bestFit="1" customWidth="1"/>
    <col min="8" max="8" width="23.5703125" style="34" bestFit="1" customWidth="1"/>
    <col min="9" max="9" width="24.5703125" style="25" bestFit="1" customWidth="1"/>
    <col min="10" max="10" width="17.85546875" style="25" bestFit="1" customWidth="1"/>
    <col min="11" max="11" width="27.5703125" style="34" bestFit="1" customWidth="1"/>
    <col min="12" max="12" width="25.140625" style="34" bestFit="1" customWidth="1"/>
    <col min="13" max="13" width="232.42578125" style="25" bestFit="1" customWidth="1"/>
    <col min="14" max="14" width="21.85546875" style="25" bestFit="1" customWidth="1"/>
    <col min="15" max="15" width="20.28515625" style="25" bestFit="1" customWidth="1"/>
    <col min="16" max="16" width="15.85546875" style="25" bestFit="1" customWidth="1"/>
    <col min="17" max="17" width="20.28515625" style="25" bestFit="1" customWidth="1"/>
    <col min="18" max="18" width="21.85546875" style="25" bestFit="1" customWidth="1"/>
    <col min="19" max="19" width="20.28515625" style="25" bestFit="1" customWidth="1"/>
    <col min="20" max="20" width="15.85546875" style="25" bestFit="1" customWidth="1"/>
    <col min="21" max="21" width="20.28515625" style="25" bestFit="1" customWidth="1"/>
    <col min="22" max="22" width="21.5703125" style="25" bestFit="1" customWidth="1"/>
    <col min="23" max="16384" width="11.42578125" style="25"/>
  </cols>
  <sheetData>
    <row r="1" spans="1:21">
      <c r="E1" s="53" t="s">
        <v>387</v>
      </c>
      <c r="F1" s="53"/>
      <c r="G1" s="53"/>
      <c r="H1" s="53"/>
      <c r="I1" s="54" t="s">
        <v>388</v>
      </c>
      <c r="J1" s="54"/>
      <c r="K1" s="54"/>
      <c r="L1" s="54"/>
    </row>
    <row r="2" spans="1:21">
      <c r="A2" s="25" t="s">
        <v>3</v>
      </c>
      <c r="B2" s="25" t="s">
        <v>6</v>
      </c>
      <c r="C2" s="25" t="s">
        <v>389</v>
      </c>
      <c r="D2" s="25" t="s">
        <v>390</v>
      </c>
      <c r="E2" s="25" t="s">
        <v>391</v>
      </c>
      <c r="F2" s="25" t="s">
        <v>392</v>
      </c>
      <c r="G2" s="34" t="s">
        <v>393</v>
      </c>
      <c r="H2" s="34" t="s">
        <v>394</v>
      </c>
      <c r="I2" s="25" t="s">
        <v>395</v>
      </c>
      <c r="J2" s="25" t="s">
        <v>396</v>
      </c>
      <c r="K2" s="34" t="s">
        <v>397</v>
      </c>
      <c r="L2" s="34" t="s">
        <v>398</v>
      </c>
    </row>
    <row r="3" spans="1:21">
      <c r="A3" s="25" t="s">
        <v>399</v>
      </c>
      <c r="B3" s="25" t="s">
        <v>143</v>
      </c>
      <c r="C3" s="25" t="s">
        <v>15</v>
      </c>
      <c r="E3" s="26" t="s">
        <v>400</v>
      </c>
      <c r="F3" s="26" t="s">
        <v>401</v>
      </c>
      <c r="G3" s="35">
        <v>7.2999999999999995E-2</v>
      </c>
      <c r="H3" s="35">
        <v>0.42099999999999999</v>
      </c>
      <c r="I3" s="27" t="s">
        <v>402</v>
      </c>
      <c r="J3" s="27" t="s">
        <v>403</v>
      </c>
      <c r="K3" s="36">
        <v>8.9999999999999993E-3</v>
      </c>
      <c r="L3" s="36">
        <v>8.9999999999999993E-3</v>
      </c>
      <c r="N3" s="25" t="s">
        <v>391</v>
      </c>
      <c r="O3" s="25" t="s">
        <v>404</v>
      </c>
      <c r="P3" s="25" t="s">
        <v>392</v>
      </c>
      <c r="Q3" s="25" t="s">
        <v>404</v>
      </c>
      <c r="R3" s="25" t="s">
        <v>391</v>
      </c>
      <c r="S3" s="25" t="s">
        <v>404</v>
      </c>
      <c r="T3" s="25" t="s">
        <v>392</v>
      </c>
      <c r="U3" s="25" t="s">
        <v>404</v>
      </c>
    </row>
    <row r="4" spans="1:21">
      <c r="A4" s="25" t="s">
        <v>405</v>
      </c>
      <c r="B4" s="25" t="s">
        <v>147</v>
      </c>
      <c r="C4" s="25" t="s">
        <v>15</v>
      </c>
      <c r="E4" s="26" t="s">
        <v>400</v>
      </c>
      <c r="F4" s="26" t="s">
        <v>401</v>
      </c>
      <c r="G4" s="35">
        <v>5.8999999999999997E-2</v>
      </c>
      <c r="H4" s="35">
        <v>0.26800000000000002</v>
      </c>
      <c r="I4" s="27" t="s">
        <v>406</v>
      </c>
      <c r="J4" s="27" t="s">
        <v>403</v>
      </c>
      <c r="K4" s="36" t="s">
        <v>407</v>
      </c>
      <c r="L4" s="36">
        <v>2.4E-2</v>
      </c>
      <c r="N4" s="25" t="s">
        <v>400</v>
      </c>
      <c r="O4" s="29">
        <f>COUNTIF($F$3:$F$990, "*"&amp;N4&amp;"*") / COUNTA($F$3:$F$990)</f>
        <v>0</v>
      </c>
      <c r="P4" s="25" t="s">
        <v>401</v>
      </c>
      <c r="Q4" s="29">
        <f>COUNTIF($G$3:$G$990, P4) / COUNTA($G$3:$G$990)</f>
        <v>0</v>
      </c>
      <c r="R4" s="25" t="s">
        <v>406</v>
      </c>
      <c r="S4" s="29">
        <f>COUNTIF($J$3:$J$990, "*"&amp;R4&amp;"*") / COUNTA($J$3:$J$990)</f>
        <v>0</v>
      </c>
      <c r="T4" s="25" t="s">
        <v>401</v>
      </c>
      <c r="U4" s="29">
        <f>COUNTIF($K$3:$K$990, T4) / COUNTA($K$3:$K$990)</f>
        <v>0</v>
      </c>
    </row>
    <row r="5" spans="1:21">
      <c r="A5" s="25" t="s">
        <v>408</v>
      </c>
      <c r="B5" s="25" t="s">
        <v>150</v>
      </c>
      <c r="C5" s="25" t="s">
        <v>15</v>
      </c>
      <c r="E5" s="26" t="s">
        <v>400</v>
      </c>
      <c r="F5" s="26" t="s">
        <v>401</v>
      </c>
      <c r="G5" s="35">
        <v>6.4000000000000001E-2</v>
      </c>
      <c r="H5" s="35">
        <v>0.29399999999999998</v>
      </c>
      <c r="I5" s="27" t="s">
        <v>406</v>
      </c>
      <c r="J5" s="27" t="s">
        <v>403</v>
      </c>
      <c r="K5" s="36" t="s">
        <v>407</v>
      </c>
      <c r="L5" s="36">
        <v>3.2000000000000001E-2</v>
      </c>
      <c r="N5" s="25" t="s">
        <v>409</v>
      </c>
      <c r="O5" s="29">
        <f>COUNTIF($F$3:$F$990, "*"&amp;N5&amp;"*") / COUNTA($F$3:$F$990)</f>
        <v>0</v>
      </c>
      <c r="P5" s="25" t="s">
        <v>410</v>
      </c>
      <c r="Q5" s="29">
        <f>COUNTIF($G$3:$G$990, P5) / COUNTA($G$3:$G$990)</f>
        <v>0</v>
      </c>
      <c r="R5" s="25" t="s">
        <v>402</v>
      </c>
      <c r="S5" s="29">
        <f>COUNTIF($J$3:$J$990, "*"&amp;R5&amp;"*") / COUNTA($J$3:$J$990)</f>
        <v>0</v>
      </c>
      <c r="T5" s="25" t="s">
        <v>410</v>
      </c>
      <c r="U5" s="29">
        <f>COUNTIF($K$3:$K$990, T5) / COUNTA($K$3:$K$990)</f>
        <v>0</v>
      </c>
    </row>
    <row r="6" spans="1:21">
      <c r="A6" s="25" t="s">
        <v>411</v>
      </c>
      <c r="B6" s="25" t="s">
        <v>153</v>
      </c>
      <c r="C6" s="25" t="s">
        <v>15</v>
      </c>
      <c r="E6" s="26" t="s">
        <v>400</v>
      </c>
      <c r="F6" s="26" t="s">
        <v>401</v>
      </c>
      <c r="G6" s="35">
        <v>5.7000000000000002E-2</v>
      </c>
      <c r="H6" s="35">
        <v>0.32</v>
      </c>
      <c r="I6" s="27" t="s">
        <v>412</v>
      </c>
      <c r="J6" s="27" t="s">
        <v>410</v>
      </c>
      <c r="K6" s="36">
        <v>0</v>
      </c>
      <c r="L6" s="36">
        <v>2.9000000000000001E-2</v>
      </c>
      <c r="P6" s="25" t="s">
        <v>403</v>
      </c>
      <c r="Q6" s="29">
        <f>COUNTIF($G$3:$G$990, P6) / COUNTA($G$3:$G$990)</f>
        <v>0</v>
      </c>
      <c r="R6" s="25" t="s">
        <v>412</v>
      </c>
      <c r="S6" s="29">
        <f>COUNTIF($J$3:$J$990, "*"&amp;R6&amp;"*") / COUNTA($J$3:$J$990)</f>
        <v>0</v>
      </c>
      <c r="T6" s="25" t="s">
        <v>403</v>
      </c>
      <c r="U6" s="29">
        <f>COUNTIF($K$3:$K$990, T6) / COUNTA($K$3:$K$990)</f>
        <v>0</v>
      </c>
    </row>
    <row r="7" spans="1:21">
      <c r="A7" s="25" t="s">
        <v>405</v>
      </c>
      <c r="B7" s="25" t="s">
        <v>156</v>
      </c>
      <c r="C7" s="25" t="s">
        <v>15</v>
      </c>
      <c r="E7" s="26" t="s">
        <v>400</v>
      </c>
      <c r="F7" s="26" t="s">
        <v>401</v>
      </c>
      <c r="G7" s="35">
        <v>8.3000000000000004E-2</v>
      </c>
      <c r="H7" s="35">
        <v>0.438</v>
      </c>
      <c r="I7" s="27" t="s">
        <v>406</v>
      </c>
      <c r="J7" s="27" t="s">
        <v>403</v>
      </c>
      <c r="K7" s="36" t="s">
        <v>407</v>
      </c>
      <c r="L7" s="36">
        <v>0.02</v>
      </c>
      <c r="R7" s="25" t="s">
        <v>413</v>
      </c>
      <c r="S7" s="29">
        <f>COUNTIF($J$3:$J$990, "*"&amp;R7&amp;"*") / COUNTA($J$3:$J$990)</f>
        <v>0</v>
      </c>
    </row>
    <row r="8" spans="1:21">
      <c r="A8" s="25" t="s">
        <v>408</v>
      </c>
      <c r="B8" s="25" t="s">
        <v>159</v>
      </c>
      <c r="C8" s="25" t="s">
        <v>15</v>
      </c>
      <c r="E8" s="26" t="s">
        <v>400</v>
      </c>
      <c r="F8" s="26" t="s">
        <v>401</v>
      </c>
      <c r="G8" s="35">
        <v>6.4000000000000001E-2</v>
      </c>
      <c r="H8" s="35">
        <v>0.52900000000000003</v>
      </c>
      <c r="I8" s="27" t="s">
        <v>412</v>
      </c>
      <c r="J8" s="27" t="s">
        <v>410</v>
      </c>
      <c r="K8" s="36">
        <v>1.0999999999999999E-2</v>
      </c>
      <c r="L8" s="36">
        <v>1.0999999999999999E-2</v>
      </c>
    </row>
    <row r="9" spans="1:21">
      <c r="A9" s="25" t="s">
        <v>411</v>
      </c>
      <c r="B9" s="25" t="s">
        <v>161</v>
      </c>
      <c r="C9" s="25" t="s">
        <v>15</v>
      </c>
      <c r="E9" s="26" t="s">
        <v>400</v>
      </c>
      <c r="F9" s="26" t="s">
        <v>401</v>
      </c>
      <c r="G9" s="35">
        <v>6.7000000000000004E-2</v>
      </c>
      <c r="H9" s="35">
        <v>0.41299999999999998</v>
      </c>
      <c r="I9" s="27" t="s">
        <v>412</v>
      </c>
      <c r="J9" s="27" t="s">
        <v>410</v>
      </c>
      <c r="K9" s="36">
        <v>0</v>
      </c>
      <c r="L9" s="36">
        <v>1.2999999999999999E-2</v>
      </c>
    </row>
    <row r="10" spans="1:21">
      <c r="A10" s="25" t="s">
        <v>405</v>
      </c>
      <c r="B10" s="25" t="s">
        <v>163</v>
      </c>
      <c r="C10" s="25" t="s">
        <v>15</v>
      </c>
      <c r="E10" s="26" t="s">
        <v>400</v>
      </c>
      <c r="F10" s="26" t="s">
        <v>401</v>
      </c>
      <c r="G10" s="35">
        <v>6.7000000000000004E-2</v>
      </c>
      <c r="H10" s="35">
        <v>0.27900000000000003</v>
      </c>
      <c r="I10" s="27" t="s">
        <v>406</v>
      </c>
      <c r="J10" s="27" t="s">
        <v>403</v>
      </c>
      <c r="K10" s="36" t="s">
        <v>407</v>
      </c>
      <c r="L10" s="36">
        <v>2.4E-2</v>
      </c>
    </row>
    <row r="11" spans="1:21">
      <c r="A11" s="25" t="s">
        <v>408</v>
      </c>
      <c r="B11" s="25" t="s">
        <v>165</v>
      </c>
      <c r="C11" s="25" t="s">
        <v>15</v>
      </c>
      <c r="E11" s="26" t="s">
        <v>400</v>
      </c>
      <c r="F11" s="26" t="s">
        <v>401</v>
      </c>
      <c r="G11" s="35">
        <v>9.8000000000000004E-2</v>
      </c>
      <c r="H11" s="35">
        <v>0.44700000000000001</v>
      </c>
      <c r="I11" s="27" t="s">
        <v>412</v>
      </c>
      <c r="J11" s="27" t="s">
        <v>410</v>
      </c>
      <c r="K11" s="36">
        <v>0</v>
      </c>
      <c r="L11" s="36">
        <v>1.7000000000000001E-2</v>
      </c>
    </row>
    <row r="12" spans="1:21">
      <c r="A12" s="25" t="s">
        <v>411</v>
      </c>
      <c r="B12" s="25" t="s">
        <v>167</v>
      </c>
      <c r="C12" s="25" t="s">
        <v>15</v>
      </c>
      <c r="E12" s="26" t="s">
        <v>400</v>
      </c>
      <c r="F12" s="26" t="s">
        <v>401</v>
      </c>
      <c r="G12" s="35">
        <v>0.14299999999999999</v>
      </c>
      <c r="H12" s="35">
        <v>0.14299999999999999</v>
      </c>
      <c r="I12" s="27" t="s">
        <v>414</v>
      </c>
      <c r="J12" s="27" t="s">
        <v>410</v>
      </c>
      <c r="K12" s="36">
        <v>0</v>
      </c>
      <c r="L12" s="36">
        <v>0</v>
      </c>
    </row>
    <row r="13" spans="1:21">
      <c r="A13" s="25" t="s">
        <v>415</v>
      </c>
      <c r="B13" s="25" t="s">
        <v>170</v>
      </c>
      <c r="C13" s="25" t="s">
        <v>15</v>
      </c>
      <c r="E13" s="26" t="s">
        <v>400</v>
      </c>
      <c r="F13" s="26" t="s">
        <v>401</v>
      </c>
      <c r="G13" s="35">
        <v>3.3000000000000002E-2</v>
      </c>
      <c r="H13" s="35">
        <v>0.39600000000000002</v>
      </c>
      <c r="I13" s="28" t="s">
        <v>407</v>
      </c>
      <c r="J13" s="27" t="s">
        <v>416</v>
      </c>
      <c r="K13" s="36" t="s">
        <v>407</v>
      </c>
      <c r="L13" s="36">
        <v>2.1999999999999999E-2</v>
      </c>
    </row>
    <row r="14" spans="1:21">
      <c r="A14" s="25" t="s">
        <v>415</v>
      </c>
      <c r="B14" s="25" t="s">
        <v>174</v>
      </c>
      <c r="C14" s="25" t="s">
        <v>15</v>
      </c>
      <c r="E14" s="26" t="s">
        <v>400</v>
      </c>
      <c r="F14" s="26" t="s">
        <v>401</v>
      </c>
      <c r="G14" s="35" t="s">
        <v>407</v>
      </c>
      <c r="H14" s="35">
        <v>0.20899999999999999</v>
      </c>
      <c r="I14" s="27" t="s">
        <v>417</v>
      </c>
      <c r="J14" s="27" t="s">
        <v>403</v>
      </c>
      <c r="K14" s="36">
        <v>1.7000000000000001E-2</v>
      </c>
      <c r="L14" s="36">
        <v>1.7000000000000001E-2</v>
      </c>
    </row>
    <row r="15" spans="1:21">
      <c r="A15" s="25" t="s">
        <v>418</v>
      </c>
      <c r="B15" s="25" t="s">
        <v>177</v>
      </c>
      <c r="C15" s="25" t="s">
        <v>15</v>
      </c>
      <c r="E15" s="26" t="s">
        <v>400</v>
      </c>
      <c r="F15" s="26" t="s">
        <v>401</v>
      </c>
      <c r="G15" s="35">
        <v>4.4999999999999998E-2</v>
      </c>
      <c r="H15" s="35">
        <v>0.29199999999999998</v>
      </c>
      <c r="I15" s="27" t="s">
        <v>417</v>
      </c>
      <c r="J15" s="27" t="s">
        <v>403</v>
      </c>
      <c r="K15" s="36" t="s">
        <v>407</v>
      </c>
      <c r="L15" s="36">
        <v>1.0999999999999999E-2</v>
      </c>
    </row>
    <row r="16" spans="1:21">
      <c r="A16" s="25" t="s">
        <v>418</v>
      </c>
      <c r="B16" s="25" t="s">
        <v>180</v>
      </c>
      <c r="C16" s="25" t="s">
        <v>15</v>
      </c>
      <c r="E16" s="26" t="s">
        <v>400</v>
      </c>
      <c r="F16" s="26" t="s">
        <v>401</v>
      </c>
      <c r="G16" s="35">
        <v>5.8000000000000003E-2</v>
      </c>
      <c r="H16" s="35">
        <v>0.25800000000000001</v>
      </c>
      <c r="I16" s="27" t="s">
        <v>417</v>
      </c>
      <c r="J16" s="27" t="s">
        <v>403</v>
      </c>
      <c r="K16" s="36" t="s">
        <v>407</v>
      </c>
      <c r="L16" s="36">
        <v>1.4999999999999999E-2</v>
      </c>
    </row>
    <row r="17" spans="1:12">
      <c r="A17" s="25" t="s">
        <v>419</v>
      </c>
      <c r="B17" s="25" t="s">
        <v>184</v>
      </c>
      <c r="C17" s="25" t="s">
        <v>12</v>
      </c>
      <c r="E17" s="26" t="s">
        <v>400</v>
      </c>
      <c r="F17" s="26" t="s">
        <v>401</v>
      </c>
      <c r="G17" s="35">
        <v>6.6000000000000003E-2</v>
      </c>
      <c r="H17" s="35">
        <v>0.40500000000000003</v>
      </c>
      <c r="I17" s="28" t="s">
        <v>407</v>
      </c>
      <c r="J17" s="27" t="s">
        <v>416</v>
      </c>
      <c r="K17" s="36" t="s">
        <v>407</v>
      </c>
      <c r="L17" s="36" t="s">
        <v>420</v>
      </c>
    </row>
    <row r="18" spans="1:12">
      <c r="A18" s="25" t="s">
        <v>421</v>
      </c>
      <c r="B18" s="25" t="s">
        <v>188</v>
      </c>
      <c r="C18" s="25" t="s">
        <v>15</v>
      </c>
      <c r="E18" s="26" t="s">
        <v>400</v>
      </c>
      <c r="F18" s="26" t="s">
        <v>401</v>
      </c>
      <c r="G18" s="35">
        <v>2.5999999999999999E-2</v>
      </c>
      <c r="H18" s="35">
        <v>0.219</v>
      </c>
      <c r="I18" s="27" t="s">
        <v>417</v>
      </c>
      <c r="J18" s="27" t="s">
        <v>403</v>
      </c>
      <c r="K18" s="36" t="s">
        <v>407</v>
      </c>
      <c r="L18" s="36">
        <v>5.6000000000000001E-2</v>
      </c>
    </row>
    <row r="19" spans="1:12">
      <c r="A19" s="25" t="s">
        <v>421</v>
      </c>
      <c r="B19" s="25" t="s">
        <v>190</v>
      </c>
      <c r="C19" s="25" t="s">
        <v>12</v>
      </c>
      <c r="E19" s="26" t="s">
        <v>400</v>
      </c>
      <c r="F19" s="26" t="s">
        <v>401</v>
      </c>
      <c r="G19" s="35">
        <v>6.6000000000000003E-2</v>
      </c>
      <c r="H19" s="35">
        <v>0.436</v>
      </c>
      <c r="I19" s="28" t="s">
        <v>407</v>
      </c>
      <c r="J19" s="27" t="s">
        <v>416</v>
      </c>
      <c r="K19" s="36" t="s">
        <v>407</v>
      </c>
      <c r="L19" s="36" t="s">
        <v>420</v>
      </c>
    </row>
    <row r="20" spans="1:12">
      <c r="A20" s="25" t="s">
        <v>422</v>
      </c>
      <c r="B20" s="25" t="s">
        <v>194</v>
      </c>
      <c r="C20" s="25" t="s">
        <v>15</v>
      </c>
      <c r="E20" s="26" t="s">
        <v>400</v>
      </c>
      <c r="F20" s="26" t="s">
        <v>401</v>
      </c>
      <c r="G20" s="30">
        <v>0.20799999999999999</v>
      </c>
      <c r="H20" s="30">
        <v>0.186</v>
      </c>
      <c r="I20" s="27" t="s">
        <v>417</v>
      </c>
      <c r="J20" s="27" t="s">
        <v>403</v>
      </c>
      <c r="K20" s="36" t="s">
        <v>407</v>
      </c>
      <c r="L20" s="31">
        <v>2.8000000000000001E-2</v>
      </c>
    </row>
    <row r="21" spans="1:12">
      <c r="A21" s="25" t="s">
        <v>422</v>
      </c>
      <c r="B21" s="25" t="s">
        <v>196</v>
      </c>
      <c r="C21" s="25" t="s">
        <v>12</v>
      </c>
      <c r="E21" s="26" t="s">
        <v>400</v>
      </c>
      <c r="F21" s="26" t="s">
        <v>401</v>
      </c>
      <c r="G21" s="30">
        <v>2.8000000000000001E-2</v>
      </c>
      <c r="H21" s="30">
        <v>0.67100000000000004</v>
      </c>
      <c r="I21" s="27" t="s">
        <v>423</v>
      </c>
      <c r="J21" s="27" t="s">
        <v>403</v>
      </c>
      <c r="K21" s="36" t="s">
        <v>407</v>
      </c>
      <c r="L21" s="31">
        <v>5.0000000000000001E-3</v>
      </c>
    </row>
    <row r="22" spans="1:12">
      <c r="A22" s="25" t="s">
        <v>422</v>
      </c>
      <c r="B22" s="25" t="s">
        <v>199</v>
      </c>
      <c r="C22" s="25" t="s">
        <v>15</v>
      </c>
      <c r="E22" s="26" t="s">
        <v>400</v>
      </c>
      <c r="F22" s="26" t="s">
        <v>401</v>
      </c>
      <c r="G22" s="35" t="s">
        <v>424</v>
      </c>
      <c r="H22" s="35" t="s">
        <v>425</v>
      </c>
      <c r="I22" s="27" t="s">
        <v>412</v>
      </c>
      <c r="J22" s="27" t="s">
        <v>410</v>
      </c>
      <c r="K22" s="36" t="s">
        <v>426</v>
      </c>
      <c r="L22" s="36">
        <v>0.05</v>
      </c>
    </row>
    <row r="23" spans="1:12">
      <c r="A23" s="25" t="s">
        <v>422</v>
      </c>
      <c r="B23" s="25" t="s">
        <v>201</v>
      </c>
      <c r="C23" s="25" t="s">
        <v>12</v>
      </c>
      <c r="E23" s="26" t="s">
        <v>400</v>
      </c>
      <c r="F23" s="26" t="s">
        <v>401</v>
      </c>
      <c r="G23" s="35" t="s">
        <v>427</v>
      </c>
      <c r="H23" s="35" t="s">
        <v>428</v>
      </c>
      <c r="I23" s="27" t="s">
        <v>429</v>
      </c>
      <c r="J23" s="27" t="s">
        <v>403</v>
      </c>
      <c r="K23" s="36" t="s">
        <v>407</v>
      </c>
      <c r="L23" s="36" t="s">
        <v>430</v>
      </c>
    </row>
    <row r="24" spans="1:12">
      <c r="A24" s="25" t="s">
        <v>431</v>
      </c>
      <c r="B24" s="25" t="s">
        <v>204</v>
      </c>
      <c r="C24" s="25" t="s">
        <v>15</v>
      </c>
      <c r="E24" s="26" t="s">
        <v>400</v>
      </c>
      <c r="F24" s="26" t="s">
        <v>401</v>
      </c>
      <c r="G24" s="35"/>
      <c r="H24" s="35" t="s">
        <v>432</v>
      </c>
      <c r="I24" s="27" t="s">
        <v>429</v>
      </c>
      <c r="J24" s="27" t="s">
        <v>403</v>
      </c>
      <c r="K24" s="36"/>
      <c r="L24" s="36" t="s">
        <v>433</v>
      </c>
    </row>
    <row r="25" spans="1:12">
      <c r="A25" s="25" t="s">
        <v>431</v>
      </c>
      <c r="B25" s="25" t="s">
        <v>206</v>
      </c>
      <c r="C25" s="25" t="s">
        <v>12</v>
      </c>
      <c r="E25" s="26" t="s">
        <v>400</v>
      </c>
      <c r="F25" s="26" t="s">
        <v>401</v>
      </c>
      <c r="G25" s="35" t="s">
        <v>434</v>
      </c>
      <c r="H25" s="35" t="s">
        <v>435</v>
      </c>
      <c r="I25" s="27" t="s">
        <v>429</v>
      </c>
      <c r="J25" s="27" t="s">
        <v>403</v>
      </c>
      <c r="K25" s="36"/>
      <c r="L25" s="36" t="s">
        <v>436</v>
      </c>
    </row>
    <row r="26" spans="1:12">
      <c r="A26" s="25" t="s">
        <v>431</v>
      </c>
      <c r="B26" s="25" t="s">
        <v>208</v>
      </c>
      <c r="C26" s="25" t="s">
        <v>15</v>
      </c>
      <c r="E26" s="26" t="s">
        <v>400</v>
      </c>
      <c r="F26" s="26" t="s">
        <v>401</v>
      </c>
      <c r="G26" s="35"/>
      <c r="H26" s="35">
        <v>0.48</v>
      </c>
      <c r="I26" s="27" t="s">
        <v>429</v>
      </c>
      <c r="J26" s="27" t="s">
        <v>403</v>
      </c>
      <c r="K26" s="36"/>
      <c r="L26" s="36" t="s">
        <v>437</v>
      </c>
    </row>
    <row r="27" spans="1:12">
      <c r="A27" s="25" t="s">
        <v>431</v>
      </c>
      <c r="B27" s="25" t="s">
        <v>210</v>
      </c>
      <c r="C27" s="25" t="s">
        <v>12</v>
      </c>
      <c r="E27" s="26" t="s">
        <v>400</v>
      </c>
      <c r="F27" s="26" t="s">
        <v>401</v>
      </c>
      <c r="G27" s="35" t="s">
        <v>438</v>
      </c>
      <c r="H27" s="35" t="s">
        <v>439</v>
      </c>
      <c r="I27" s="27" t="s">
        <v>429</v>
      </c>
      <c r="J27" s="27" t="s">
        <v>403</v>
      </c>
      <c r="K27" s="36"/>
      <c r="L27" s="36" t="s">
        <v>438</v>
      </c>
    </row>
    <row r="28" spans="1:12">
      <c r="A28" s="25" t="s">
        <v>440</v>
      </c>
      <c r="B28" s="25" t="s">
        <v>214</v>
      </c>
      <c r="C28" s="25" t="s">
        <v>15</v>
      </c>
      <c r="E28" s="26" t="s">
        <v>400</v>
      </c>
      <c r="F28" s="26" t="s">
        <v>401</v>
      </c>
      <c r="G28" s="35"/>
      <c r="H28" s="35" t="s">
        <v>441</v>
      </c>
      <c r="I28" s="27" t="s">
        <v>423</v>
      </c>
      <c r="J28" s="27" t="s">
        <v>403</v>
      </c>
      <c r="K28" s="36"/>
      <c r="L28" s="36" t="s">
        <v>442</v>
      </c>
    </row>
    <row r="29" spans="1:12">
      <c r="A29" s="25" t="s">
        <v>440</v>
      </c>
      <c r="B29" s="25" t="s">
        <v>216</v>
      </c>
      <c r="C29" s="25" t="s">
        <v>15</v>
      </c>
      <c r="E29" s="26" t="s">
        <v>400</v>
      </c>
      <c r="F29" s="26" t="s">
        <v>401</v>
      </c>
      <c r="G29" s="35" t="s">
        <v>443</v>
      </c>
      <c r="H29" s="35" t="s">
        <v>444</v>
      </c>
      <c r="I29" s="27" t="s">
        <v>445</v>
      </c>
      <c r="J29" s="27" t="s">
        <v>403</v>
      </c>
      <c r="K29" s="36">
        <v>0.02</v>
      </c>
      <c r="L29" s="36" t="s">
        <v>433</v>
      </c>
    </row>
    <row r="30" spans="1:12">
      <c r="A30" s="25" t="s">
        <v>440</v>
      </c>
      <c r="B30" s="25" t="s">
        <v>218</v>
      </c>
      <c r="C30" s="25" t="s">
        <v>15</v>
      </c>
      <c r="E30" s="26" t="s">
        <v>400</v>
      </c>
      <c r="F30" s="26" t="s">
        <v>401</v>
      </c>
      <c r="G30" s="35"/>
      <c r="H30" s="35" t="s">
        <v>446</v>
      </c>
      <c r="I30" s="27" t="s">
        <v>447</v>
      </c>
      <c r="J30" s="27" t="s">
        <v>403</v>
      </c>
      <c r="K30" s="36" t="s">
        <v>448</v>
      </c>
      <c r="L30" s="36" t="s">
        <v>449</v>
      </c>
    </row>
    <row r="31" spans="1:12">
      <c r="A31" s="25" t="s">
        <v>450</v>
      </c>
      <c r="B31" s="25" t="s">
        <v>236</v>
      </c>
      <c r="C31" s="25" t="s">
        <v>15</v>
      </c>
      <c r="E31" s="26" t="s">
        <v>400</v>
      </c>
      <c r="F31" s="26" t="s">
        <v>401</v>
      </c>
      <c r="G31" s="35"/>
      <c r="H31" s="35" t="s">
        <v>451</v>
      </c>
      <c r="I31" s="27"/>
      <c r="J31" s="27"/>
      <c r="K31" s="36"/>
      <c r="L31" s="36"/>
    </row>
    <row r="32" spans="1:12">
      <c r="A32" s="25" t="s">
        <v>450</v>
      </c>
      <c r="B32" s="32" t="s">
        <v>238</v>
      </c>
      <c r="C32" s="25" t="s">
        <v>15</v>
      </c>
      <c r="E32" s="26" t="s">
        <v>400</v>
      </c>
      <c r="F32" s="26" t="s">
        <v>401</v>
      </c>
      <c r="G32" s="35"/>
      <c r="H32" s="35" t="s">
        <v>237</v>
      </c>
      <c r="I32" s="27"/>
      <c r="J32" s="27"/>
      <c r="K32" s="36"/>
      <c r="L32" s="36"/>
    </row>
    <row r="33" spans="1:12">
      <c r="A33" s="25" t="s">
        <v>450</v>
      </c>
      <c r="B33" s="32" t="s">
        <v>240</v>
      </c>
      <c r="C33" s="25" t="s">
        <v>15</v>
      </c>
      <c r="E33" s="26" t="s">
        <v>400</v>
      </c>
      <c r="F33" s="26" t="s">
        <v>401</v>
      </c>
      <c r="G33" s="35"/>
      <c r="H33" s="35">
        <v>0.8</v>
      </c>
      <c r="I33" s="27"/>
      <c r="J33" s="27"/>
      <c r="K33" s="36"/>
      <c r="L33" s="36"/>
    </row>
    <row r="34" spans="1:12">
      <c r="A34" s="25" t="s">
        <v>10</v>
      </c>
      <c r="B34" s="25" t="s">
        <v>452</v>
      </c>
      <c r="C34" s="25" t="s">
        <v>15</v>
      </c>
      <c r="E34" s="26" t="s">
        <v>400</v>
      </c>
      <c r="F34" s="26" t="s">
        <v>401</v>
      </c>
      <c r="G34" s="35"/>
      <c r="H34" s="35" t="s">
        <v>453</v>
      </c>
      <c r="I34" s="27" t="s">
        <v>454</v>
      </c>
      <c r="J34" s="27" t="s">
        <v>403</v>
      </c>
      <c r="K34" s="36" t="s">
        <v>455</v>
      </c>
      <c r="L34" s="36" t="s">
        <v>456</v>
      </c>
    </row>
    <row r="35" spans="1:12">
      <c r="A35" s="25" t="s">
        <v>10</v>
      </c>
      <c r="B35" s="25" t="s">
        <v>18</v>
      </c>
      <c r="C35" s="25" t="s">
        <v>12</v>
      </c>
      <c r="E35" s="26" t="s">
        <v>400</v>
      </c>
      <c r="F35" s="26" t="s">
        <v>401</v>
      </c>
      <c r="G35" s="35" t="s">
        <v>457</v>
      </c>
      <c r="H35" s="35" t="s">
        <v>458</v>
      </c>
      <c r="I35" s="27" t="s">
        <v>429</v>
      </c>
      <c r="J35" s="27" t="s">
        <v>403</v>
      </c>
      <c r="K35" s="36"/>
      <c r="L35" s="36" t="s">
        <v>459</v>
      </c>
    </row>
    <row r="36" spans="1:12">
      <c r="A36" s="25" t="s">
        <v>10</v>
      </c>
      <c r="B36" s="25" t="s">
        <v>20</v>
      </c>
      <c r="C36" s="25" t="s">
        <v>15</v>
      </c>
      <c r="E36" s="26" t="s">
        <v>400</v>
      </c>
      <c r="F36" s="26" t="s">
        <v>401</v>
      </c>
      <c r="G36" s="35"/>
      <c r="H36" s="35"/>
      <c r="I36" s="27"/>
      <c r="J36" s="27"/>
      <c r="K36" s="36"/>
      <c r="L36" s="36"/>
    </row>
    <row r="37" spans="1:12">
      <c r="A37" s="25" t="s">
        <v>10</v>
      </c>
      <c r="B37" s="25" t="s">
        <v>21</v>
      </c>
      <c r="C37" s="25" t="s">
        <v>15</v>
      </c>
      <c r="E37" s="26" t="s">
        <v>400</v>
      </c>
      <c r="F37" s="26" t="s">
        <v>401</v>
      </c>
      <c r="G37" s="35"/>
      <c r="H37" s="35"/>
      <c r="I37" s="27"/>
      <c r="J37" s="27"/>
      <c r="K37" s="36"/>
      <c r="L37" s="36"/>
    </row>
    <row r="38" spans="1:12">
      <c r="A38" s="25" t="s">
        <v>10</v>
      </c>
      <c r="B38" s="25" t="s">
        <v>23</v>
      </c>
      <c r="C38" s="25" t="s">
        <v>15</v>
      </c>
      <c r="E38" s="26" t="s">
        <v>400</v>
      </c>
      <c r="F38" s="26" t="s">
        <v>401</v>
      </c>
      <c r="G38" s="35"/>
      <c r="H38" s="35"/>
      <c r="I38" s="27"/>
      <c r="J38" s="27"/>
      <c r="K38" s="36"/>
      <c r="L38" s="36"/>
    </row>
    <row r="39" spans="1:12">
      <c r="A39" s="25" t="s">
        <v>10</v>
      </c>
      <c r="B39" s="25" t="s">
        <v>24</v>
      </c>
      <c r="C39" s="25" t="s">
        <v>15</v>
      </c>
      <c r="E39" s="26" t="s">
        <v>400</v>
      </c>
      <c r="F39" s="26" t="s">
        <v>401</v>
      </c>
      <c r="G39" s="35"/>
      <c r="H39" s="35"/>
      <c r="I39" s="27"/>
      <c r="J39" s="27"/>
      <c r="K39" s="36"/>
      <c r="L39" s="36"/>
    </row>
    <row r="40" spans="1:12">
      <c r="A40" s="25" t="s">
        <v>10</v>
      </c>
      <c r="B40" s="25" t="s">
        <v>26</v>
      </c>
      <c r="C40" s="25" t="s">
        <v>15</v>
      </c>
      <c r="E40" s="26" t="s">
        <v>400</v>
      </c>
      <c r="F40" s="26" t="s">
        <v>401</v>
      </c>
      <c r="G40" s="35"/>
      <c r="H40" s="35"/>
      <c r="I40" s="27"/>
      <c r="J40" s="27"/>
      <c r="K40" s="36"/>
      <c r="L40" s="36"/>
    </row>
    <row r="41" spans="1:12">
      <c r="A41" s="25" t="s">
        <v>10</v>
      </c>
      <c r="B41" s="25" t="s">
        <v>27</v>
      </c>
      <c r="C41" s="25" t="s">
        <v>15</v>
      </c>
      <c r="E41" s="26" t="s">
        <v>400</v>
      </c>
      <c r="F41" s="26" t="s">
        <v>401</v>
      </c>
      <c r="G41" s="35"/>
      <c r="H41" s="35"/>
      <c r="I41" s="27"/>
      <c r="J41" s="27"/>
      <c r="K41" s="36"/>
      <c r="L41" s="36"/>
    </row>
    <row r="42" spans="1:12">
      <c r="A42" s="25" t="s">
        <v>10</v>
      </c>
      <c r="B42" s="25" t="s">
        <v>28</v>
      </c>
      <c r="C42" s="25" t="s">
        <v>12</v>
      </c>
      <c r="E42" s="26" t="s">
        <v>400</v>
      </c>
      <c r="F42" s="26" t="s">
        <v>401</v>
      </c>
      <c r="G42" s="35"/>
      <c r="H42" s="35"/>
      <c r="I42" s="27"/>
      <c r="J42" s="27"/>
      <c r="K42" s="36"/>
      <c r="L42" s="36"/>
    </row>
    <row r="43" spans="1:12">
      <c r="A43" s="25" t="s">
        <v>10</v>
      </c>
      <c r="B43" s="25" t="s">
        <v>29</v>
      </c>
      <c r="C43" s="25" t="s">
        <v>12</v>
      </c>
      <c r="E43" s="26" t="s">
        <v>400</v>
      </c>
      <c r="F43" s="26" t="s">
        <v>401</v>
      </c>
      <c r="G43" s="35"/>
      <c r="H43" s="35"/>
      <c r="I43" s="27"/>
      <c r="J43" s="27"/>
      <c r="K43" s="36"/>
      <c r="L43" s="36"/>
    </row>
    <row r="44" spans="1:12">
      <c r="A44" s="25" t="s">
        <v>10</v>
      </c>
      <c r="B44" s="25" t="s">
        <v>30</v>
      </c>
      <c r="C44" s="25" t="s">
        <v>12</v>
      </c>
      <c r="E44" s="26" t="s">
        <v>400</v>
      </c>
      <c r="F44" s="26" t="s">
        <v>401</v>
      </c>
      <c r="G44" s="35"/>
      <c r="H44" s="35"/>
      <c r="I44" s="27"/>
      <c r="J44" s="27"/>
      <c r="K44" s="36"/>
      <c r="L44" s="36"/>
    </row>
    <row r="45" spans="1:12">
      <c r="A45" s="25" t="s">
        <v>10</v>
      </c>
      <c r="B45" s="25" t="s">
        <v>31</v>
      </c>
      <c r="C45" s="25" t="s">
        <v>12</v>
      </c>
      <c r="E45" s="26" t="s">
        <v>400</v>
      </c>
      <c r="F45" s="26" t="s">
        <v>401</v>
      </c>
      <c r="G45" s="35"/>
      <c r="H45" s="35"/>
      <c r="I45" s="27"/>
      <c r="J45" s="27"/>
      <c r="K45" s="36"/>
      <c r="L45" s="36"/>
    </row>
    <row r="46" spans="1:12">
      <c r="A46" s="25" t="s">
        <v>10</v>
      </c>
      <c r="B46" s="25" t="s">
        <v>32</v>
      </c>
      <c r="C46" s="25" t="s">
        <v>12</v>
      </c>
      <c r="E46" s="26" t="s">
        <v>400</v>
      </c>
      <c r="F46" s="26" t="s">
        <v>401</v>
      </c>
      <c r="G46" s="35"/>
      <c r="H46" s="35"/>
      <c r="I46" s="27"/>
      <c r="J46" s="27"/>
      <c r="K46" s="36"/>
      <c r="L46" s="36"/>
    </row>
    <row r="47" spans="1:12">
      <c r="A47" s="25" t="s">
        <v>10</v>
      </c>
      <c r="B47" s="25" t="s">
        <v>33</v>
      </c>
      <c r="C47" s="25" t="s">
        <v>12</v>
      </c>
      <c r="E47" s="26" t="s">
        <v>400</v>
      </c>
      <c r="F47" s="26" t="s">
        <v>401</v>
      </c>
      <c r="G47" s="35"/>
      <c r="H47" s="35"/>
      <c r="I47" s="27"/>
      <c r="J47" s="27"/>
      <c r="K47" s="36"/>
      <c r="L47" s="36"/>
    </row>
    <row r="48" spans="1:12">
      <c r="A48" s="25" t="s">
        <v>10</v>
      </c>
      <c r="B48" s="25" t="s">
        <v>35</v>
      </c>
      <c r="C48" s="25" t="s">
        <v>15</v>
      </c>
      <c r="E48" s="26" t="s">
        <v>400</v>
      </c>
      <c r="F48" s="26" t="s">
        <v>401</v>
      </c>
      <c r="G48" s="35"/>
      <c r="H48" s="35" t="s">
        <v>453</v>
      </c>
      <c r="I48" s="27" t="s">
        <v>454</v>
      </c>
      <c r="J48" s="27" t="s">
        <v>403</v>
      </c>
      <c r="K48" s="36" t="s">
        <v>460</v>
      </c>
      <c r="L48" s="36" t="s">
        <v>456</v>
      </c>
    </row>
    <row r="49" spans="1:12">
      <c r="A49" s="25" t="s">
        <v>10</v>
      </c>
      <c r="B49" s="25" t="s">
        <v>43</v>
      </c>
      <c r="C49" s="25" t="s">
        <v>12</v>
      </c>
      <c r="E49" s="26" t="s">
        <v>400</v>
      </c>
      <c r="F49" s="26" t="s">
        <v>401</v>
      </c>
      <c r="G49" s="35" t="s">
        <v>461</v>
      </c>
      <c r="H49" s="35" t="s">
        <v>462</v>
      </c>
      <c r="I49" s="27" t="s">
        <v>429</v>
      </c>
      <c r="J49" s="27" t="s">
        <v>403</v>
      </c>
      <c r="K49" s="36"/>
      <c r="L49" s="36" t="s">
        <v>457</v>
      </c>
    </row>
    <row r="50" spans="1:12">
      <c r="A50" s="25" t="s">
        <v>56</v>
      </c>
      <c r="B50" s="33" t="s">
        <v>57</v>
      </c>
      <c r="C50" s="25" t="s">
        <v>15</v>
      </c>
      <c r="E50" s="26" t="s">
        <v>400</v>
      </c>
      <c r="F50" s="26" t="s">
        <v>401</v>
      </c>
      <c r="G50" s="35"/>
      <c r="H50" s="35"/>
      <c r="I50" s="27"/>
      <c r="J50" s="27"/>
      <c r="K50" s="36"/>
      <c r="L50" s="36"/>
    </row>
    <row r="51" spans="1:12">
      <c r="A51" s="25" t="s">
        <v>56</v>
      </c>
      <c r="B51" s="25" t="s">
        <v>58</v>
      </c>
      <c r="C51" s="25" t="s">
        <v>12</v>
      </c>
      <c r="E51" s="26" t="s">
        <v>400</v>
      </c>
      <c r="F51" s="26" t="s">
        <v>401</v>
      </c>
      <c r="G51" s="35"/>
      <c r="H51" s="35" t="s">
        <v>463</v>
      </c>
      <c r="I51" s="27"/>
      <c r="J51" s="27"/>
      <c r="K51" s="36"/>
      <c r="L51" s="36"/>
    </row>
    <row r="52" spans="1:12">
      <c r="A52" s="25" t="s">
        <v>59</v>
      </c>
      <c r="B52" s="33" t="s">
        <v>60</v>
      </c>
      <c r="C52" s="25" t="s">
        <v>15</v>
      </c>
      <c r="E52" s="26" t="s">
        <v>400</v>
      </c>
      <c r="F52" s="26" t="s">
        <v>401</v>
      </c>
      <c r="G52" s="35"/>
      <c r="H52" s="35"/>
      <c r="I52" s="27"/>
      <c r="J52" s="27"/>
      <c r="K52" s="36"/>
      <c r="L52" s="36"/>
    </row>
    <row r="53" spans="1:12">
      <c r="A53" s="25" t="s">
        <v>59</v>
      </c>
      <c r="B53" s="25" t="s">
        <v>61</v>
      </c>
      <c r="C53" s="25" t="s">
        <v>15</v>
      </c>
      <c r="E53" s="26" t="s">
        <v>400</v>
      </c>
      <c r="F53" s="26" t="s">
        <v>401</v>
      </c>
      <c r="G53" s="35"/>
      <c r="H53" s="35"/>
      <c r="I53" s="27"/>
      <c r="J53" s="27"/>
      <c r="K53" s="36"/>
      <c r="L53" s="36"/>
    </row>
    <row r="54" spans="1:12">
      <c r="A54" s="25" t="s">
        <v>59</v>
      </c>
      <c r="B54" s="33" t="s">
        <v>62</v>
      </c>
      <c r="C54" s="25" t="s">
        <v>15</v>
      </c>
      <c r="E54" s="26" t="s">
        <v>400</v>
      </c>
      <c r="F54" s="26" t="s">
        <v>401</v>
      </c>
      <c r="G54" s="35"/>
      <c r="H54" s="35" t="s">
        <v>464</v>
      </c>
      <c r="I54" s="27"/>
      <c r="J54" s="27"/>
      <c r="K54" s="36"/>
      <c r="L54" s="36"/>
    </row>
    <row r="55" spans="1:12">
      <c r="A55" s="25" t="s">
        <v>59</v>
      </c>
      <c r="B55" s="33" t="s">
        <v>63</v>
      </c>
      <c r="C55" s="25" t="s">
        <v>12</v>
      </c>
      <c r="E55" s="26" t="s">
        <v>400</v>
      </c>
      <c r="F55" s="26" t="s">
        <v>401</v>
      </c>
      <c r="G55" s="35"/>
      <c r="H55" s="35" t="s">
        <v>465</v>
      </c>
      <c r="I55" s="27"/>
      <c r="J55" s="27"/>
      <c r="K55" s="36"/>
      <c r="L55" s="36"/>
    </row>
    <row r="56" spans="1:12">
      <c r="A56" s="25" t="s">
        <v>59</v>
      </c>
      <c r="B56" s="33" t="s">
        <v>64</v>
      </c>
      <c r="C56" s="25" t="s">
        <v>12</v>
      </c>
      <c r="E56" s="26" t="s">
        <v>400</v>
      </c>
      <c r="F56" s="26" t="s">
        <v>401</v>
      </c>
      <c r="G56" s="35"/>
      <c r="H56" s="35" t="s">
        <v>466</v>
      </c>
      <c r="I56" s="27"/>
      <c r="J56" s="27"/>
      <c r="K56" s="36"/>
      <c r="L56" s="36"/>
    </row>
    <row r="57" spans="1:12">
      <c r="A57" s="25" t="s">
        <v>59</v>
      </c>
      <c r="B57" s="33" t="s">
        <v>65</v>
      </c>
      <c r="C57" s="25" t="s">
        <v>12</v>
      </c>
      <c r="E57" s="26" t="s">
        <v>400</v>
      </c>
      <c r="F57" s="26" t="s">
        <v>401</v>
      </c>
      <c r="G57" s="35"/>
      <c r="H57" s="35" t="s">
        <v>467</v>
      </c>
      <c r="I57" s="27"/>
      <c r="J57" s="27"/>
      <c r="K57" s="36"/>
      <c r="L57" s="36"/>
    </row>
    <row r="58" spans="1:12">
      <c r="A58" s="25" t="s">
        <v>59</v>
      </c>
      <c r="B58" s="33" t="s">
        <v>66</v>
      </c>
      <c r="C58" s="25" t="s">
        <v>12</v>
      </c>
      <c r="E58" s="26" t="s">
        <v>400</v>
      </c>
      <c r="F58" s="26" t="s">
        <v>401</v>
      </c>
      <c r="G58" s="35"/>
      <c r="H58" s="35">
        <v>0.72</v>
      </c>
      <c r="I58" s="27"/>
      <c r="J58" s="27"/>
      <c r="K58" s="36"/>
      <c r="L58" s="36"/>
    </row>
    <row r="59" spans="1:12">
      <c r="A59" s="25" t="s">
        <v>59</v>
      </c>
      <c r="B59" s="33" t="s">
        <v>67</v>
      </c>
      <c r="C59" s="25" t="s">
        <v>12</v>
      </c>
      <c r="E59" s="26" t="s">
        <v>400</v>
      </c>
      <c r="F59" s="26" t="s">
        <v>401</v>
      </c>
      <c r="G59" s="35"/>
      <c r="H59" s="35" t="s">
        <v>468</v>
      </c>
      <c r="I59" s="27"/>
      <c r="J59" s="27"/>
      <c r="K59" s="36"/>
      <c r="L59" s="36"/>
    </row>
    <row r="60" spans="1:12">
      <c r="A60" s="25" t="s">
        <v>59</v>
      </c>
      <c r="B60" s="33" t="s">
        <v>68</v>
      </c>
      <c r="C60" s="25" t="s">
        <v>12</v>
      </c>
      <c r="E60" s="26" t="s">
        <v>400</v>
      </c>
      <c r="F60" s="26" t="s">
        <v>401</v>
      </c>
      <c r="G60" s="35"/>
      <c r="H60" s="35" t="s">
        <v>469</v>
      </c>
      <c r="I60" s="27"/>
      <c r="J60" s="27"/>
      <c r="K60" s="36"/>
      <c r="L60" s="36"/>
    </row>
    <row r="61" spans="1:12">
      <c r="A61" s="25" t="s">
        <v>59</v>
      </c>
      <c r="B61" s="25" t="s">
        <v>61</v>
      </c>
      <c r="C61" s="25" t="s">
        <v>15</v>
      </c>
      <c r="E61" s="26" t="s">
        <v>400</v>
      </c>
      <c r="F61" s="26" t="s">
        <v>401</v>
      </c>
      <c r="G61" s="35"/>
      <c r="H61" s="35"/>
      <c r="I61" s="27"/>
      <c r="J61" s="27"/>
      <c r="K61" s="36"/>
      <c r="L61" s="36"/>
    </row>
    <row r="62" spans="1:12">
      <c r="A62" s="11" t="s">
        <v>77</v>
      </c>
      <c r="B62" s="38" t="s">
        <v>78</v>
      </c>
      <c r="C62" s="11" t="s">
        <v>12</v>
      </c>
      <c r="E62" s="26" t="s">
        <v>400</v>
      </c>
      <c r="F62" s="26" t="s">
        <v>401</v>
      </c>
      <c r="G62" s="35"/>
      <c r="H62" s="35" t="s">
        <v>470</v>
      </c>
      <c r="I62" s="27" t="s">
        <v>413</v>
      </c>
      <c r="J62" s="27" t="s">
        <v>403</v>
      </c>
      <c r="K62" s="36"/>
      <c r="L62" s="36" t="s">
        <v>471</v>
      </c>
    </row>
    <row r="63" spans="1:12">
      <c r="A63" s="11" t="s">
        <v>77</v>
      </c>
      <c r="B63" s="38" t="s">
        <v>80</v>
      </c>
      <c r="C63" s="11" t="s">
        <v>12</v>
      </c>
      <c r="E63" s="26" t="s">
        <v>400</v>
      </c>
      <c r="F63" s="26" t="s">
        <v>401</v>
      </c>
      <c r="G63" s="35"/>
      <c r="H63" s="35" t="s">
        <v>470</v>
      </c>
      <c r="I63" s="27" t="s">
        <v>413</v>
      </c>
      <c r="J63" s="27" t="s">
        <v>403</v>
      </c>
      <c r="K63" s="36"/>
      <c r="L63" s="36" t="s">
        <v>471</v>
      </c>
    </row>
    <row r="64" spans="1:12">
      <c r="A64" s="11" t="s">
        <v>77</v>
      </c>
      <c r="B64" s="38" t="s">
        <v>81</v>
      </c>
      <c r="C64" s="11" t="s">
        <v>12</v>
      </c>
      <c r="E64" s="26" t="s">
        <v>400</v>
      </c>
      <c r="F64" s="26" t="s">
        <v>401</v>
      </c>
      <c r="G64" s="35"/>
      <c r="H64" s="35" t="s">
        <v>472</v>
      </c>
      <c r="I64" s="27" t="s">
        <v>473</v>
      </c>
      <c r="J64" s="27" t="s">
        <v>403</v>
      </c>
      <c r="K64" s="36"/>
      <c r="L64" s="36" t="s">
        <v>474</v>
      </c>
    </row>
    <row r="65" spans="1:12">
      <c r="A65" s="11" t="s">
        <v>77</v>
      </c>
      <c r="B65" s="38" t="s">
        <v>82</v>
      </c>
      <c r="C65" s="11" t="s">
        <v>12</v>
      </c>
      <c r="E65" s="26" t="s">
        <v>400</v>
      </c>
      <c r="F65" s="26" t="s">
        <v>401</v>
      </c>
      <c r="G65" s="35"/>
      <c r="H65" s="35" t="s">
        <v>475</v>
      </c>
      <c r="I65" s="27" t="s">
        <v>429</v>
      </c>
      <c r="J65" s="27" t="s">
        <v>403</v>
      </c>
      <c r="K65" s="36"/>
      <c r="L65" s="36" t="s">
        <v>476</v>
      </c>
    </row>
    <row r="66" spans="1:12">
      <c r="A66" s="11" t="s">
        <v>77</v>
      </c>
      <c r="B66" s="38" t="s">
        <v>83</v>
      </c>
      <c r="C66" s="11" t="s">
        <v>12</v>
      </c>
      <c r="E66" s="26" t="s">
        <v>400</v>
      </c>
      <c r="F66" s="26" t="s">
        <v>401</v>
      </c>
      <c r="G66" s="35"/>
      <c r="H66" s="35" t="s">
        <v>477</v>
      </c>
      <c r="I66" s="27" t="s">
        <v>429</v>
      </c>
      <c r="J66" s="27" t="s">
        <v>403</v>
      </c>
      <c r="K66" s="36"/>
      <c r="L66" s="36" t="s">
        <v>478</v>
      </c>
    </row>
    <row r="67" spans="1:12">
      <c r="A67" s="11" t="s">
        <v>77</v>
      </c>
      <c r="B67" s="38" t="s">
        <v>85</v>
      </c>
      <c r="C67" s="11" t="s">
        <v>12</v>
      </c>
      <c r="E67" s="26" t="s">
        <v>400</v>
      </c>
      <c r="F67" s="26" t="s">
        <v>401</v>
      </c>
      <c r="G67" s="35"/>
      <c r="H67" s="35" t="s">
        <v>479</v>
      </c>
      <c r="I67" s="27" t="s">
        <v>429</v>
      </c>
      <c r="J67" s="27" t="s">
        <v>403</v>
      </c>
      <c r="K67" s="36"/>
      <c r="L67" s="36" t="s">
        <v>436</v>
      </c>
    </row>
    <row r="68" spans="1:12">
      <c r="A68" s="11" t="s">
        <v>77</v>
      </c>
      <c r="B68" s="38" t="s">
        <v>86</v>
      </c>
      <c r="C68" s="11" t="s">
        <v>12</v>
      </c>
      <c r="E68" s="26" t="s">
        <v>400</v>
      </c>
      <c r="F68" s="26" t="s">
        <v>401</v>
      </c>
      <c r="G68" s="35"/>
      <c r="H68" s="35" t="s">
        <v>480</v>
      </c>
      <c r="I68" s="27" t="s">
        <v>481</v>
      </c>
      <c r="J68" s="27" t="s">
        <v>403</v>
      </c>
      <c r="K68" s="36" t="s">
        <v>482</v>
      </c>
      <c r="L68" s="36">
        <v>0.01</v>
      </c>
    </row>
    <row r="69" spans="1:12">
      <c r="A69" s="11" t="s">
        <v>77</v>
      </c>
      <c r="B69" s="38" t="s">
        <v>87</v>
      </c>
      <c r="C69" s="11" t="s">
        <v>12</v>
      </c>
      <c r="E69" s="26" t="s">
        <v>400</v>
      </c>
      <c r="F69" s="26" t="s">
        <v>401</v>
      </c>
      <c r="G69" s="35"/>
      <c r="H69" s="35" t="s">
        <v>483</v>
      </c>
      <c r="I69" s="27" t="s">
        <v>429</v>
      </c>
      <c r="J69" s="27" t="s">
        <v>403</v>
      </c>
      <c r="K69" s="36"/>
      <c r="L69" s="36" t="s">
        <v>484</v>
      </c>
    </row>
    <row r="70" spans="1:12">
      <c r="A70" s="11" t="s">
        <v>77</v>
      </c>
      <c r="B70" s="38" t="s">
        <v>88</v>
      </c>
      <c r="C70" s="11" t="s">
        <v>12</v>
      </c>
      <c r="E70" s="26" t="s">
        <v>400</v>
      </c>
      <c r="F70" s="26" t="s">
        <v>401</v>
      </c>
      <c r="G70" s="35"/>
      <c r="H70" s="35" t="s">
        <v>485</v>
      </c>
      <c r="I70" s="27" t="s">
        <v>429</v>
      </c>
      <c r="J70" s="27" t="s">
        <v>403</v>
      </c>
      <c r="K70" s="36"/>
      <c r="L70" s="36" t="s">
        <v>436</v>
      </c>
    </row>
    <row r="71" spans="1:12">
      <c r="A71" s="11" t="s">
        <v>77</v>
      </c>
      <c r="B71" s="38" t="s">
        <v>89</v>
      </c>
      <c r="C71" s="11" t="s">
        <v>12</v>
      </c>
      <c r="E71" s="26" t="s">
        <v>400</v>
      </c>
      <c r="F71" s="26" t="s">
        <v>401</v>
      </c>
      <c r="G71" s="35"/>
      <c r="H71" s="35" t="s">
        <v>486</v>
      </c>
      <c r="I71" s="27" t="s">
        <v>429</v>
      </c>
      <c r="J71" s="27" t="s">
        <v>403</v>
      </c>
      <c r="K71" s="36"/>
      <c r="L71" s="36" t="s">
        <v>433</v>
      </c>
    </row>
    <row r="72" spans="1:12">
      <c r="A72" s="11" t="s">
        <v>77</v>
      </c>
      <c r="B72" s="38" t="s">
        <v>90</v>
      </c>
      <c r="C72" s="11" t="s">
        <v>12</v>
      </c>
      <c r="E72" s="26" t="s">
        <v>400</v>
      </c>
      <c r="F72" s="26" t="s">
        <v>401</v>
      </c>
      <c r="G72" s="35"/>
      <c r="H72" s="35" t="s">
        <v>487</v>
      </c>
      <c r="I72" s="27" t="s">
        <v>481</v>
      </c>
      <c r="J72" s="27" t="s">
        <v>403</v>
      </c>
      <c r="K72" s="36"/>
      <c r="L72" s="36">
        <v>0</v>
      </c>
    </row>
    <row r="73" spans="1:12">
      <c r="A73" s="11" t="s">
        <v>77</v>
      </c>
      <c r="B73" s="38" t="s">
        <v>91</v>
      </c>
      <c r="C73" s="11" t="s">
        <v>12</v>
      </c>
      <c r="E73" s="26" t="s">
        <v>400</v>
      </c>
      <c r="F73" s="26" t="s">
        <v>401</v>
      </c>
      <c r="G73" s="35"/>
      <c r="H73" s="35" t="s">
        <v>488</v>
      </c>
      <c r="I73" s="27" t="s">
        <v>489</v>
      </c>
      <c r="J73" s="27" t="s">
        <v>403</v>
      </c>
      <c r="K73" s="36"/>
      <c r="L73" s="36">
        <v>0</v>
      </c>
    </row>
    <row r="74" spans="1:12">
      <c r="A74" s="11" t="s">
        <v>77</v>
      </c>
      <c r="B74" s="38" t="s">
        <v>92</v>
      </c>
      <c r="C74" s="11" t="s">
        <v>12</v>
      </c>
      <c r="E74" s="26" t="s">
        <v>400</v>
      </c>
      <c r="F74" s="26" t="s">
        <v>401</v>
      </c>
      <c r="G74" s="35"/>
      <c r="H74" s="35" t="s">
        <v>490</v>
      </c>
      <c r="I74" s="27" t="s">
        <v>491</v>
      </c>
      <c r="J74" s="27" t="s">
        <v>403</v>
      </c>
      <c r="K74" s="36"/>
      <c r="L74" s="36">
        <v>0</v>
      </c>
    </row>
    <row r="75" spans="1:12">
      <c r="A75" s="11" t="s">
        <v>77</v>
      </c>
      <c r="B75" s="38" t="s">
        <v>93</v>
      </c>
      <c r="C75" s="11" t="s">
        <v>12</v>
      </c>
      <c r="E75" s="26" t="s">
        <v>400</v>
      </c>
      <c r="F75" s="26" t="s">
        <v>401</v>
      </c>
      <c r="G75" s="35"/>
      <c r="H75" s="35" t="s">
        <v>488</v>
      </c>
      <c r="I75" s="27" t="s">
        <v>429</v>
      </c>
      <c r="J75" s="27" t="s">
        <v>403</v>
      </c>
      <c r="K75" s="36"/>
      <c r="L75" s="36" t="s">
        <v>492</v>
      </c>
    </row>
    <row r="76" spans="1:12">
      <c r="A76" s="11" t="s">
        <v>77</v>
      </c>
      <c r="B76" s="38" t="s">
        <v>94</v>
      </c>
      <c r="C76" s="11" t="s">
        <v>12</v>
      </c>
      <c r="E76" s="26" t="s">
        <v>400</v>
      </c>
      <c r="F76" s="26" t="s">
        <v>401</v>
      </c>
      <c r="G76" s="35"/>
      <c r="H76" s="35" t="s">
        <v>493</v>
      </c>
      <c r="I76" s="27" t="s">
        <v>491</v>
      </c>
      <c r="J76" s="27" t="s">
        <v>403</v>
      </c>
      <c r="K76" s="36"/>
      <c r="L76" s="36">
        <v>0</v>
      </c>
    </row>
    <row r="77" spans="1:12">
      <c r="A77" s="11" t="s">
        <v>77</v>
      </c>
      <c r="B77" s="38" t="s">
        <v>95</v>
      </c>
      <c r="C77" s="11" t="s">
        <v>12</v>
      </c>
      <c r="E77" s="26" t="s">
        <v>400</v>
      </c>
      <c r="F77" s="26" t="s">
        <v>401</v>
      </c>
      <c r="G77" s="35"/>
      <c r="H77" s="35" t="s">
        <v>494</v>
      </c>
      <c r="I77" s="27" t="s">
        <v>429</v>
      </c>
      <c r="J77" s="27" t="s">
        <v>403</v>
      </c>
      <c r="K77" s="36"/>
      <c r="L77" s="36" t="s">
        <v>495</v>
      </c>
    </row>
    <row r="78" spans="1:12">
      <c r="A78" s="11" t="s">
        <v>77</v>
      </c>
      <c r="B78" s="38" t="s">
        <v>96</v>
      </c>
      <c r="C78" s="11" t="s">
        <v>12</v>
      </c>
      <c r="E78" s="26" t="s">
        <v>400</v>
      </c>
      <c r="F78" s="26" t="s">
        <v>401</v>
      </c>
      <c r="G78" s="35"/>
      <c r="H78" s="35" t="s">
        <v>496</v>
      </c>
      <c r="I78" s="27" t="s">
        <v>481</v>
      </c>
      <c r="J78" s="27" t="s">
        <v>403</v>
      </c>
      <c r="K78" s="36"/>
      <c r="L78" s="36">
        <v>0</v>
      </c>
    </row>
    <row r="79" spans="1:12">
      <c r="A79" s="11" t="s">
        <v>77</v>
      </c>
      <c r="B79" s="38" t="s">
        <v>97</v>
      </c>
      <c r="C79" s="11" t="s">
        <v>12</v>
      </c>
      <c r="E79" s="26" t="s">
        <v>400</v>
      </c>
      <c r="F79" s="26" t="s">
        <v>401</v>
      </c>
      <c r="G79" s="35"/>
      <c r="H79" s="35" t="s">
        <v>497</v>
      </c>
      <c r="I79" s="27" t="s">
        <v>429</v>
      </c>
      <c r="J79" s="27" t="s">
        <v>403</v>
      </c>
      <c r="K79" s="36"/>
      <c r="L79" s="36" t="s">
        <v>474</v>
      </c>
    </row>
    <row r="80" spans="1:12">
      <c r="A80" s="11" t="s">
        <v>77</v>
      </c>
      <c r="B80" s="38" t="s">
        <v>98</v>
      </c>
      <c r="C80" s="11" t="s">
        <v>12</v>
      </c>
      <c r="E80" s="26" t="s">
        <v>400</v>
      </c>
      <c r="F80" s="26" t="s">
        <v>401</v>
      </c>
      <c r="G80" s="35"/>
      <c r="H80" s="35" t="s">
        <v>498</v>
      </c>
      <c r="I80" s="27" t="s">
        <v>429</v>
      </c>
      <c r="J80" s="27" t="s">
        <v>403</v>
      </c>
      <c r="K80" s="36"/>
      <c r="L80" s="36" t="s">
        <v>426</v>
      </c>
    </row>
    <row r="81" spans="1:12">
      <c r="A81" s="11" t="s">
        <v>77</v>
      </c>
      <c r="B81" s="38" t="s">
        <v>99</v>
      </c>
      <c r="C81" s="11" t="s">
        <v>12</v>
      </c>
      <c r="E81" s="26" t="s">
        <v>400</v>
      </c>
      <c r="F81" s="26" t="s">
        <v>401</v>
      </c>
      <c r="G81" s="35"/>
      <c r="H81" s="35" t="s">
        <v>464</v>
      </c>
      <c r="I81" s="27" t="s">
        <v>491</v>
      </c>
      <c r="J81" s="27" t="s">
        <v>403</v>
      </c>
      <c r="K81" s="36"/>
      <c r="L81" s="36" t="s">
        <v>455</v>
      </c>
    </row>
    <row r="82" spans="1:12">
      <c r="A82" s="11" t="s">
        <v>77</v>
      </c>
      <c r="B82" s="38" t="s">
        <v>100</v>
      </c>
      <c r="C82" s="11" t="s">
        <v>12</v>
      </c>
      <c r="E82" s="26" t="s">
        <v>400</v>
      </c>
      <c r="F82" s="26" t="s">
        <v>401</v>
      </c>
      <c r="G82" s="35"/>
      <c r="H82" s="35" t="s">
        <v>499</v>
      </c>
      <c r="I82" s="27" t="s">
        <v>491</v>
      </c>
      <c r="J82" s="27" t="s">
        <v>403</v>
      </c>
      <c r="K82" s="36"/>
      <c r="L82" s="36" t="s">
        <v>476</v>
      </c>
    </row>
    <row r="83" spans="1:12">
      <c r="A83" s="11" t="s">
        <v>77</v>
      </c>
      <c r="B83" s="38" t="s">
        <v>101</v>
      </c>
      <c r="C83" s="11" t="s">
        <v>12</v>
      </c>
      <c r="E83" s="26" t="s">
        <v>400</v>
      </c>
      <c r="F83" s="26" t="s">
        <v>401</v>
      </c>
      <c r="G83" s="35"/>
      <c r="H83" s="35" t="s">
        <v>500</v>
      </c>
      <c r="I83" s="27" t="s">
        <v>491</v>
      </c>
      <c r="J83" s="27" t="s">
        <v>403</v>
      </c>
      <c r="K83" s="36"/>
      <c r="L83" s="36" t="s">
        <v>474</v>
      </c>
    </row>
    <row r="84" spans="1:12">
      <c r="A84" s="11" t="s">
        <v>102</v>
      </c>
      <c r="B84" s="38" t="s">
        <v>103</v>
      </c>
      <c r="C84" s="11" t="s">
        <v>15</v>
      </c>
      <c r="E84" s="26" t="s">
        <v>400</v>
      </c>
      <c r="F84" s="26" t="s">
        <v>401</v>
      </c>
      <c r="G84" s="35"/>
      <c r="H84" s="35" t="s">
        <v>501</v>
      </c>
      <c r="I84" s="27" t="s">
        <v>491</v>
      </c>
      <c r="J84" s="27" t="s">
        <v>403</v>
      </c>
      <c r="K84" s="36"/>
      <c r="L84" s="36" t="s">
        <v>502</v>
      </c>
    </row>
    <row r="85" spans="1:12">
      <c r="A85" s="11" t="s">
        <v>104</v>
      </c>
      <c r="B85" s="38" t="s">
        <v>105</v>
      </c>
      <c r="C85" s="11" t="s">
        <v>12</v>
      </c>
      <c r="E85" s="26" t="s">
        <v>400</v>
      </c>
      <c r="F85" s="26" t="s">
        <v>401</v>
      </c>
      <c r="G85" s="35"/>
      <c r="H85" s="35" t="s">
        <v>503</v>
      </c>
      <c r="I85" s="27" t="s">
        <v>489</v>
      </c>
      <c r="J85" s="27" t="s">
        <v>403</v>
      </c>
      <c r="K85" s="36"/>
      <c r="L85" s="36">
        <v>0</v>
      </c>
    </row>
    <row r="86" spans="1:12">
      <c r="A86" s="23" t="s">
        <v>106</v>
      </c>
      <c r="B86" s="39" t="s">
        <v>107</v>
      </c>
      <c r="C86" s="11" t="s">
        <v>15</v>
      </c>
      <c r="E86" s="26" t="s">
        <v>400</v>
      </c>
      <c r="F86" s="26" t="s">
        <v>401</v>
      </c>
      <c r="G86" s="35"/>
      <c r="H86" s="35" t="s">
        <v>504</v>
      </c>
      <c r="I86" s="27" t="s">
        <v>491</v>
      </c>
      <c r="J86" s="27" t="s">
        <v>403</v>
      </c>
      <c r="K86" s="36"/>
      <c r="L86" s="36" t="s">
        <v>505</v>
      </c>
    </row>
  </sheetData>
  <mergeCells count="2">
    <mergeCell ref="E1:H1"/>
    <mergeCell ref="I1:L1"/>
  </mergeCells>
  <phoneticPr fontId="3" type="noConversion"/>
  <conditionalFormatting sqref="B1:B61 B87:B1048576">
    <cfRule type="expression" dxfId="44" priority="3">
      <formula>$C3="privilege"</formula>
    </cfRule>
  </conditionalFormatting>
  <conditionalFormatting sqref="B62:B86">
    <cfRule type="expression" dxfId="43" priority="1">
      <formula>$F62="privilege"</formula>
    </cfRule>
  </conditionalFormatting>
  <dataValidations count="5">
    <dataValidation type="list" allowBlank="1" showInputMessage="1" showErrorMessage="1" sqref="C3:C61" xr:uid="{EF8C9A1E-6403-40EB-9406-66D5AA133AD9}">
      <formula1>"Public,Privilege"</formula1>
    </dataValidation>
    <dataValidation type="list" allowBlank="1" showInputMessage="1" showErrorMessage="1" sqref="D3" xr:uid="{84126096-D738-4605-90DB-E7E37B5C0A4B}">
      <formula1>"Premiumization,NLP"</formula1>
    </dataValidation>
    <dataValidation type="list" allowBlank="1" showInputMessage="1" showErrorMessage="1" sqref="J18 J3:J12 J20:J30 J14:J16 F3:F86" xr:uid="{6FC23266-B2BE-4092-B6BF-8273D9E60C72}">
      <formula1>"Top,Middle,Bottom"</formula1>
    </dataValidation>
    <dataValidation type="list" allowBlank="1" showInputMessage="1" showErrorMessage="1" sqref="J13 J19 J17 J34:J35 J48:J49" xr:uid="{CBC28C86-6A70-4279-AAE1-2C9E85EB0FC1}">
      <formula1>"Top,Middle,Bottom,No Result"</formula1>
    </dataValidation>
    <dataValidation type="list" showInputMessage="1" showErrorMessage="1" sqref="C62:C86" xr:uid="{2F336EA8-6EA3-45BC-A2A9-B8C4057013E5}">
      <formula1>"Public, Privilege"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ABEC6-B0E0-4E60-9B1F-6D03BE940629}">
  <dimension ref="A1:I110"/>
  <sheetViews>
    <sheetView tabSelected="1" topLeftCell="B74" zoomScale="80" zoomScaleNormal="80" workbookViewId="0">
      <selection activeCell="G88" sqref="G88"/>
    </sheetView>
  </sheetViews>
  <sheetFormatPr defaultColWidth="11.42578125" defaultRowHeight="14.45"/>
  <cols>
    <col min="1" max="1" width="28.42578125" style="25" bestFit="1" customWidth="1"/>
    <col min="2" max="2" width="102.5703125" style="25" bestFit="1" customWidth="1"/>
    <col min="3" max="3" width="15.5703125" style="25" bestFit="1" customWidth="1"/>
    <col min="4" max="4" width="26.140625" style="34" bestFit="1" customWidth="1"/>
    <col min="5" max="5" width="23.5703125" style="34" bestFit="1" customWidth="1"/>
    <col min="6" max="7" width="23.5703125" style="34" customWidth="1"/>
    <col min="8" max="8" width="20.5703125" style="25" customWidth="1"/>
    <col min="9" max="9" width="21.5703125" style="25" bestFit="1" customWidth="1"/>
    <col min="10" max="16384" width="11.42578125" style="25"/>
  </cols>
  <sheetData>
    <row r="1" spans="1:9">
      <c r="D1" s="55"/>
      <c r="E1" s="55"/>
      <c r="F1" s="40"/>
      <c r="G1" s="40"/>
    </row>
    <row r="2" spans="1:9">
      <c r="A2" s="25" t="s">
        <v>3</v>
      </c>
      <c r="B2" s="25" t="s">
        <v>6</v>
      </c>
      <c r="C2" s="25" t="s">
        <v>506</v>
      </c>
      <c r="D2" s="34" t="s">
        <v>507</v>
      </c>
      <c r="E2" s="34" t="s">
        <v>394</v>
      </c>
      <c r="F2" s="25" t="s">
        <v>508</v>
      </c>
      <c r="G2" s="25" t="s">
        <v>509</v>
      </c>
      <c r="H2" s="25" t="s">
        <v>510</v>
      </c>
      <c r="I2" s="25" t="s">
        <v>511</v>
      </c>
    </row>
    <row r="3" spans="1:9">
      <c r="A3" s="25" t="s">
        <v>399</v>
      </c>
      <c r="B3" s="25" t="s">
        <v>143</v>
      </c>
      <c r="C3" s="25" t="s">
        <v>15</v>
      </c>
      <c r="D3" s="34">
        <v>7.2999999999999995E-2</v>
      </c>
      <c r="E3" s="34">
        <v>0.42099999999999999</v>
      </c>
      <c r="H3" s="42"/>
      <c r="I3" s="42"/>
    </row>
    <row r="4" spans="1:9">
      <c r="A4" s="25" t="s">
        <v>405</v>
      </c>
      <c r="B4" s="25" t="s">
        <v>147</v>
      </c>
      <c r="C4" s="25" t="s">
        <v>15</v>
      </c>
      <c r="D4" s="34">
        <v>5.8999999999999997E-2</v>
      </c>
      <c r="E4" s="34">
        <v>0.26800000000000002</v>
      </c>
      <c r="H4" s="42"/>
      <c r="I4" s="42"/>
    </row>
    <row r="5" spans="1:9">
      <c r="A5" s="25" t="s">
        <v>408</v>
      </c>
      <c r="B5" s="25" t="s">
        <v>150</v>
      </c>
      <c r="C5" s="25" t="s">
        <v>15</v>
      </c>
      <c r="D5" s="34">
        <v>6.4000000000000001E-2</v>
      </c>
      <c r="E5" s="34">
        <v>0.29399999999999998</v>
      </c>
      <c r="H5" s="42"/>
      <c r="I5" s="42"/>
    </row>
    <row r="6" spans="1:9">
      <c r="A6" s="25" t="s">
        <v>411</v>
      </c>
      <c r="B6" s="25" t="s">
        <v>153</v>
      </c>
      <c r="C6" s="25" t="s">
        <v>15</v>
      </c>
      <c r="D6" s="34">
        <v>5.7000000000000002E-2</v>
      </c>
      <c r="E6" s="34">
        <v>0.32</v>
      </c>
      <c r="H6" s="42"/>
      <c r="I6" s="42"/>
    </row>
    <row r="7" spans="1:9">
      <c r="A7" s="25" t="s">
        <v>405</v>
      </c>
      <c r="B7" s="25" t="s">
        <v>156</v>
      </c>
      <c r="C7" s="25" t="s">
        <v>15</v>
      </c>
      <c r="D7" s="34">
        <v>8.3000000000000004E-2</v>
      </c>
      <c r="E7" s="34">
        <v>0.438</v>
      </c>
      <c r="H7" s="42"/>
      <c r="I7" s="42"/>
    </row>
    <row r="8" spans="1:9">
      <c r="A8" s="25" t="s">
        <v>408</v>
      </c>
      <c r="B8" s="25" t="s">
        <v>159</v>
      </c>
      <c r="C8" s="25" t="s">
        <v>15</v>
      </c>
      <c r="D8" s="34">
        <v>6.4000000000000001E-2</v>
      </c>
      <c r="E8" s="34">
        <v>0.52900000000000003</v>
      </c>
      <c r="H8" s="42"/>
      <c r="I8" s="42"/>
    </row>
    <row r="9" spans="1:9">
      <c r="A9" s="25" t="s">
        <v>411</v>
      </c>
      <c r="B9" s="25" t="s">
        <v>161</v>
      </c>
      <c r="C9" s="25" t="s">
        <v>15</v>
      </c>
      <c r="D9" s="34">
        <v>6.7000000000000004E-2</v>
      </c>
      <c r="E9" s="34">
        <v>0.41299999999999998</v>
      </c>
      <c r="H9" s="42"/>
      <c r="I9" s="42"/>
    </row>
    <row r="10" spans="1:9">
      <c r="A10" s="25" t="s">
        <v>405</v>
      </c>
      <c r="B10" s="25" t="s">
        <v>163</v>
      </c>
      <c r="C10" s="25" t="s">
        <v>15</v>
      </c>
      <c r="D10" s="34">
        <v>6.7000000000000004E-2</v>
      </c>
      <c r="E10" s="34">
        <v>0.27900000000000003</v>
      </c>
      <c r="H10" s="42"/>
      <c r="I10" s="42"/>
    </row>
    <row r="11" spans="1:9">
      <c r="A11" s="25" t="s">
        <v>408</v>
      </c>
      <c r="B11" s="25" t="s">
        <v>165</v>
      </c>
      <c r="C11" s="25" t="s">
        <v>15</v>
      </c>
      <c r="D11" s="34">
        <v>9.8000000000000004E-2</v>
      </c>
      <c r="E11" s="34">
        <v>0.44700000000000001</v>
      </c>
      <c r="H11" s="42"/>
      <c r="I11" s="42"/>
    </row>
    <row r="12" spans="1:9">
      <c r="A12" s="25" t="s">
        <v>411</v>
      </c>
      <c r="B12" s="25" t="s">
        <v>167</v>
      </c>
      <c r="C12" s="25" t="s">
        <v>15</v>
      </c>
      <c r="D12" s="34">
        <v>0.14299999999999999</v>
      </c>
      <c r="E12" s="34">
        <v>0.14299999999999999</v>
      </c>
      <c r="H12" s="42"/>
      <c r="I12" s="42"/>
    </row>
    <row r="13" spans="1:9">
      <c r="A13" s="25" t="s">
        <v>415</v>
      </c>
      <c r="B13" s="25" t="s">
        <v>170</v>
      </c>
      <c r="C13" s="25" t="s">
        <v>15</v>
      </c>
      <c r="D13" s="34">
        <v>3.3000000000000002E-2</v>
      </c>
      <c r="E13" s="34">
        <v>0.39600000000000002</v>
      </c>
      <c r="H13" s="42"/>
      <c r="I13" s="42"/>
    </row>
    <row r="14" spans="1:9">
      <c r="A14" s="25" t="s">
        <v>415</v>
      </c>
      <c r="B14" s="25" t="s">
        <v>174</v>
      </c>
      <c r="C14" s="25" t="s">
        <v>15</v>
      </c>
      <c r="D14" s="34" t="s">
        <v>407</v>
      </c>
      <c r="E14" s="34">
        <v>0.20899999999999999</v>
      </c>
      <c r="H14" s="42"/>
      <c r="I14" s="42"/>
    </row>
    <row r="15" spans="1:9">
      <c r="A15" s="25" t="s">
        <v>418</v>
      </c>
      <c r="B15" s="25" t="s">
        <v>177</v>
      </c>
      <c r="C15" s="25" t="s">
        <v>15</v>
      </c>
      <c r="D15" s="34">
        <v>4.4999999999999998E-2</v>
      </c>
      <c r="E15" s="34">
        <v>0.29199999999999998</v>
      </c>
      <c r="H15" s="42"/>
      <c r="I15" s="42"/>
    </row>
    <row r="16" spans="1:9">
      <c r="A16" s="25" t="s">
        <v>418</v>
      </c>
      <c r="B16" s="25" t="s">
        <v>180</v>
      </c>
      <c r="C16" s="25" t="s">
        <v>15</v>
      </c>
      <c r="D16" s="34">
        <v>5.8000000000000003E-2</v>
      </c>
      <c r="E16" s="34">
        <v>0.25800000000000001</v>
      </c>
      <c r="H16" s="42"/>
      <c r="I16" s="42"/>
    </row>
    <row r="17" spans="1:9">
      <c r="A17" s="25" t="s">
        <v>419</v>
      </c>
      <c r="B17" s="25" t="s">
        <v>184</v>
      </c>
      <c r="C17" s="25" t="s">
        <v>12</v>
      </c>
      <c r="D17" s="34">
        <v>6.6000000000000003E-2</v>
      </c>
      <c r="E17" s="34">
        <v>0.40500000000000003</v>
      </c>
      <c r="H17" s="42"/>
      <c r="I17" s="42"/>
    </row>
    <row r="18" spans="1:9">
      <c r="A18" s="25" t="s">
        <v>421</v>
      </c>
      <c r="B18" s="25" t="s">
        <v>188</v>
      </c>
      <c r="C18" s="25" t="s">
        <v>15</v>
      </c>
      <c r="D18" s="34">
        <v>2.5999999999999999E-2</v>
      </c>
      <c r="E18" s="34">
        <v>0.219</v>
      </c>
      <c r="H18" s="42"/>
      <c r="I18" s="42"/>
    </row>
    <row r="19" spans="1:9">
      <c r="A19" s="25" t="s">
        <v>421</v>
      </c>
      <c r="B19" s="25" t="s">
        <v>190</v>
      </c>
      <c r="C19" s="25" t="s">
        <v>12</v>
      </c>
      <c r="D19" s="34">
        <v>6.6000000000000003E-2</v>
      </c>
      <c r="E19" s="34">
        <v>0.436</v>
      </c>
      <c r="H19" s="42"/>
      <c r="I19" s="42"/>
    </row>
    <row r="20" spans="1:9">
      <c r="A20" s="25" t="s">
        <v>422</v>
      </c>
      <c r="B20" s="25" t="s">
        <v>194</v>
      </c>
      <c r="C20" s="25" t="s">
        <v>15</v>
      </c>
      <c r="D20" s="41">
        <v>0.20799999999999999</v>
      </c>
      <c r="E20" s="41">
        <v>0.186</v>
      </c>
      <c r="G20" s="41"/>
      <c r="H20" s="42"/>
      <c r="I20" s="42"/>
    </row>
    <row r="21" spans="1:9">
      <c r="A21" s="25" t="s">
        <v>422</v>
      </c>
      <c r="B21" s="25" t="s">
        <v>196</v>
      </c>
      <c r="C21" s="25" t="s">
        <v>12</v>
      </c>
      <c r="D21" s="41">
        <v>2.8000000000000001E-2</v>
      </c>
      <c r="E21" s="41">
        <v>0.67100000000000004</v>
      </c>
      <c r="G21" s="41"/>
      <c r="H21" s="42"/>
      <c r="I21" s="42"/>
    </row>
    <row r="22" spans="1:9">
      <c r="A22" s="25" t="s">
        <v>422</v>
      </c>
      <c r="B22" s="25" t="s">
        <v>199</v>
      </c>
      <c r="C22" s="25" t="s">
        <v>15</v>
      </c>
      <c r="D22" s="34" t="s">
        <v>424</v>
      </c>
      <c r="E22" s="34" t="s">
        <v>425</v>
      </c>
      <c r="H22" s="42"/>
      <c r="I22" s="42"/>
    </row>
    <row r="23" spans="1:9">
      <c r="A23" s="25" t="s">
        <v>422</v>
      </c>
      <c r="B23" s="25" t="s">
        <v>201</v>
      </c>
      <c r="C23" s="25" t="s">
        <v>12</v>
      </c>
      <c r="D23" s="34" t="s">
        <v>427</v>
      </c>
      <c r="E23" s="34" t="s">
        <v>428</v>
      </c>
      <c r="H23" s="42"/>
      <c r="I23" s="42"/>
    </row>
    <row r="24" spans="1:9">
      <c r="A24" s="25" t="s">
        <v>431</v>
      </c>
      <c r="B24" s="25" t="s">
        <v>204</v>
      </c>
      <c r="C24" s="25" t="s">
        <v>15</v>
      </c>
      <c r="E24" s="34" t="s">
        <v>432</v>
      </c>
      <c r="H24" s="42"/>
      <c r="I24" s="42"/>
    </row>
    <row r="25" spans="1:9">
      <c r="A25" s="25" t="s">
        <v>431</v>
      </c>
      <c r="B25" s="25" t="s">
        <v>206</v>
      </c>
      <c r="C25" s="25" t="s">
        <v>12</v>
      </c>
      <c r="D25" s="34" t="s">
        <v>434</v>
      </c>
      <c r="E25" s="34" t="s">
        <v>435</v>
      </c>
      <c r="H25" s="42"/>
      <c r="I25" s="42"/>
    </row>
    <row r="26" spans="1:9">
      <c r="A26" s="25" t="s">
        <v>431</v>
      </c>
      <c r="B26" s="25" t="s">
        <v>208</v>
      </c>
      <c r="C26" s="25" t="s">
        <v>15</v>
      </c>
      <c r="E26" s="34">
        <v>0.48</v>
      </c>
      <c r="H26" s="42"/>
      <c r="I26" s="42"/>
    </row>
    <row r="27" spans="1:9">
      <c r="A27" s="25" t="s">
        <v>431</v>
      </c>
      <c r="B27" s="25" t="s">
        <v>210</v>
      </c>
      <c r="C27" s="25" t="s">
        <v>12</v>
      </c>
      <c r="D27" s="34" t="s">
        <v>438</v>
      </c>
      <c r="E27" s="34" t="s">
        <v>439</v>
      </c>
      <c r="H27" s="42"/>
      <c r="I27" s="42"/>
    </row>
    <row r="28" spans="1:9">
      <c r="A28" s="25" t="s">
        <v>440</v>
      </c>
      <c r="B28" s="25" t="s">
        <v>214</v>
      </c>
      <c r="C28" s="25" t="s">
        <v>15</v>
      </c>
      <c r="E28" s="34" t="s">
        <v>441</v>
      </c>
      <c r="H28" s="42"/>
      <c r="I28" s="42"/>
    </row>
    <row r="29" spans="1:9">
      <c r="A29" s="25" t="s">
        <v>440</v>
      </c>
      <c r="B29" s="25" t="s">
        <v>216</v>
      </c>
      <c r="C29" s="25" t="s">
        <v>15</v>
      </c>
      <c r="D29" s="34" t="s">
        <v>443</v>
      </c>
      <c r="E29" s="34" t="s">
        <v>444</v>
      </c>
      <c r="H29" s="42"/>
      <c r="I29" s="42"/>
    </row>
    <row r="30" spans="1:9">
      <c r="A30" s="25" t="s">
        <v>440</v>
      </c>
      <c r="B30" s="25" t="s">
        <v>218</v>
      </c>
      <c r="C30" s="25" t="s">
        <v>15</v>
      </c>
      <c r="E30" s="34" t="s">
        <v>446</v>
      </c>
      <c r="H30" s="42"/>
      <c r="I30" s="42"/>
    </row>
    <row r="31" spans="1:9">
      <c r="A31" s="25" t="s">
        <v>450</v>
      </c>
      <c r="B31" s="25" t="s">
        <v>236</v>
      </c>
      <c r="C31" s="25" t="s">
        <v>15</v>
      </c>
      <c r="E31" s="34" t="s">
        <v>451</v>
      </c>
      <c r="H31" s="42"/>
      <c r="I31" s="42"/>
    </row>
    <row r="32" spans="1:9">
      <c r="A32" s="25" t="s">
        <v>450</v>
      </c>
      <c r="B32" s="32" t="s">
        <v>238</v>
      </c>
      <c r="C32" s="25" t="s">
        <v>15</v>
      </c>
      <c r="E32" s="34" t="s">
        <v>237</v>
      </c>
      <c r="H32" s="42"/>
      <c r="I32" s="42"/>
    </row>
    <row r="33" spans="1:9">
      <c r="A33" s="25" t="s">
        <v>450</v>
      </c>
      <c r="B33" s="32" t="s">
        <v>240</v>
      </c>
      <c r="C33" s="25" t="s">
        <v>15</v>
      </c>
      <c r="E33" s="34">
        <v>0.8</v>
      </c>
      <c r="H33" s="42"/>
      <c r="I33" s="42"/>
    </row>
    <row r="34" spans="1:9">
      <c r="A34" s="25" t="s">
        <v>10</v>
      </c>
      <c r="B34" s="25" t="s">
        <v>452</v>
      </c>
      <c r="C34" s="25" t="s">
        <v>15</v>
      </c>
      <c r="E34" s="34" t="s">
        <v>453</v>
      </c>
      <c r="H34" s="42"/>
      <c r="I34" s="42"/>
    </row>
    <row r="35" spans="1:9">
      <c r="A35" s="25" t="s">
        <v>10</v>
      </c>
      <c r="B35" s="25" t="s">
        <v>18</v>
      </c>
      <c r="C35" s="25" t="s">
        <v>12</v>
      </c>
      <c r="D35" s="34" t="s">
        <v>457</v>
      </c>
      <c r="E35" s="34" t="s">
        <v>458</v>
      </c>
      <c r="H35" s="42"/>
      <c r="I35" s="42"/>
    </row>
    <row r="36" spans="1:9">
      <c r="A36" s="25" t="s">
        <v>10</v>
      </c>
      <c r="B36" s="25" t="s">
        <v>20</v>
      </c>
      <c r="C36" s="25" t="s">
        <v>15</v>
      </c>
      <c r="H36" s="42"/>
      <c r="I36" s="42"/>
    </row>
    <row r="37" spans="1:9">
      <c r="A37" s="25" t="s">
        <v>10</v>
      </c>
      <c r="B37" s="25" t="s">
        <v>21</v>
      </c>
      <c r="C37" s="25" t="s">
        <v>15</v>
      </c>
      <c r="H37" s="42"/>
      <c r="I37" s="42"/>
    </row>
    <row r="38" spans="1:9">
      <c r="A38" s="25" t="s">
        <v>10</v>
      </c>
      <c r="B38" s="25" t="s">
        <v>23</v>
      </c>
      <c r="C38" s="25" t="s">
        <v>15</v>
      </c>
      <c r="H38" s="42"/>
      <c r="I38" s="42"/>
    </row>
    <row r="39" spans="1:9">
      <c r="A39" s="25" t="s">
        <v>10</v>
      </c>
      <c r="B39" s="25" t="s">
        <v>24</v>
      </c>
      <c r="C39" s="25" t="s">
        <v>15</v>
      </c>
      <c r="H39" s="42"/>
      <c r="I39" s="42"/>
    </row>
    <row r="40" spans="1:9">
      <c r="A40" s="25" t="s">
        <v>10</v>
      </c>
      <c r="B40" s="25" t="s">
        <v>26</v>
      </c>
      <c r="C40" s="25" t="s">
        <v>15</v>
      </c>
      <c r="H40" s="42"/>
      <c r="I40" s="42"/>
    </row>
    <row r="41" spans="1:9">
      <c r="A41" s="25" t="s">
        <v>10</v>
      </c>
      <c r="B41" s="25" t="s">
        <v>27</v>
      </c>
      <c r="C41" s="25" t="s">
        <v>15</v>
      </c>
      <c r="H41" s="42"/>
      <c r="I41" s="42"/>
    </row>
    <row r="42" spans="1:9">
      <c r="A42" s="25" t="s">
        <v>10</v>
      </c>
      <c r="B42" s="25" t="s">
        <v>28</v>
      </c>
      <c r="C42" s="25" t="s">
        <v>12</v>
      </c>
      <c r="H42" s="42"/>
      <c r="I42" s="42"/>
    </row>
    <row r="43" spans="1:9">
      <c r="A43" s="25" t="s">
        <v>10</v>
      </c>
      <c r="B43" s="25" t="s">
        <v>29</v>
      </c>
      <c r="C43" s="25" t="s">
        <v>12</v>
      </c>
      <c r="H43" s="42"/>
      <c r="I43" s="42"/>
    </row>
    <row r="44" spans="1:9">
      <c r="A44" s="25" t="s">
        <v>10</v>
      </c>
      <c r="B44" s="25" t="s">
        <v>30</v>
      </c>
      <c r="C44" s="25" t="s">
        <v>12</v>
      </c>
      <c r="H44" s="42"/>
      <c r="I44" s="42"/>
    </row>
    <row r="45" spans="1:9">
      <c r="A45" s="25" t="s">
        <v>10</v>
      </c>
      <c r="B45" s="25" t="s">
        <v>31</v>
      </c>
      <c r="C45" s="25" t="s">
        <v>12</v>
      </c>
      <c r="H45" s="42"/>
      <c r="I45" s="42"/>
    </row>
    <row r="46" spans="1:9">
      <c r="A46" s="25" t="s">
        <v>10</v>
      </c>
      <c r="B46" s="25" t="s">
        <v>32</v>
      </c>
      <c r="C46" s="25" t="s">
        <v>12</v>
      </c>
      <c r="H46" s="42"/>
      <c r="I46" s="42"/>
    </row>
    <row r="47" spans="1:9">
      <c r="A47" s="25" t="s">
        <v>10</v>
      </c>
      <c r="B47" s="25" t="s">
        <v>33</v>
      </c>
      <c r="C47" s="25" t="s">
        <v>12</v>
      </c>
      <c r="H47" s="42"/>
      <c r="I47" s="42"/>
    </row>
    <row r="48" spans="1:9">
      <c r="A48" s="25" t="s">
        <v>10</v>
      </c>
      <c r="B48" s="25" t="s">
        <v>35</v>
      </c>
      <c r="C48" s="25" t="s">
        <v>15</v>
      </c>
      <c r="E48" s="34" t="s">
        <v>453</v>
      </c>
      <c r="H48" s="42"/>
      <c r="I48" s="42"/>
    </row>
    <row r="49" spans="1:9">
      <c r="A49" s="25" t="s">
        <v>10</v>
      </c>
      <c r="B49" s="25" t="s">
        <v>43</v>
      </c>
      <c r="C49" s="25" t="s">
        <v>12</v>
      </c>
      <c r="D49" s="34" t="s">
        <v>461</v>
      </c>
      <c r="E49" s="34" t="s">
        <v>462</v>
      </c>
      <c r="H49" s="42"/>
      <c r="I49" s="42"/>
    </row>
    <row r="50" spans="1:9">
      <c r="A50" s="25" t="s">
        <v>56</v>
      </c>
      <c r="B50" s="33" t="s">
        <v>57</v>
      </c>
      <c r="C50" s="25" t="s">
        <v>15</v>
      </c>
      <c r="H50" s="42"/>
      <c r="I50" s="42"/>
    </row>
    <row r="51" spans="1:9">
      <c r="A51" s="25" t="s">
        <v>56</v>
      </c>
      <c r="B51" s="25" t="s">
        <v>58</v>
      </c>
      <c r="C51" s="25" t="s">
        <v>12</v>
      </c>
      <c r="E51" s="34" t="s">
        <v>463</v>
      </c>
      <c r="H51" s="42"/>
      <c r="I51" s="42"/>
    </row>
    <row r="52" spans="1:9">
      <c r="A52" s="25" t="s">
        <v>59</v>
      </c>
      <c r="B52" s="33" t="s">
        <v>60</v>
      </c>
      <c r="C52" s="25" t="s">
        <v>15</v>
      </c>
      <c r="H52" s="42"/>
      <c r="I52" s="42"/>
    </row>
    <row r="53" spans="1:9">
      <c r="A53" s="25" t="s">
        <v>59</v>
      </c>
      <c r="B53" s="25" t="s">
        <v>61</v>
      </c>
      <c r="C53" s="25" t="s">
        <v>15</v>
      </c>
      <c r="H53" s="42"/>
      <c r="I53" s="42"/>
    </row>
    <row r="54" spans="1:9">
      <c r="A54" s="25" t="s">
        <v>59</v>
      </c>
      <c r="B54" s="33" t="s">
        <v>62</v>
      </c>
      <c r="C54" s="25" t="s">
        <v>15</v>
      </c>
      <c r="E54" s="34" t="s">
        <v>464</v>
      </c>
      <c r="H54" s="42"/>
      <c r="I54" s="42"/>
    </row>
    <row r="55" spans="1:9">
      <c r="A55" s="25" t="s">
        <v>59</v>
      </c>
      <c r="B55" s="33" t="s">
        <v>63</v>
      </c>
      <c r="C55" s="25" t="s">
        <v>12</v>
      </c>
      <c r="E55" s="34" t="s">
        <v>465</v>
      </c>
      <c r="H55" s="42"/>
      <c r="I55" s="42"/>
    </row>
    <row r="56" spans="1:9">
      <c r="A56" s="25" t="s">
        <v>59</v>
      </c>
      <c r="B56" s="33" t="s">
        <v>64</v>
      </c>
      <c r="C56" s="25" t="s">
        <v>12</v>
      </c>
      <c r="E56" s="34" t="s">
        <v>466</v>
      </c>
      <c r="H56" s="42"/>
      <c r="I56" s="42"/>
    </row>
    <row r="57" spans="1:9">
      <c r="A57" s="25" t="s">
        <v>59</v>
      </c>
      <c r="B57" s="33" t="s">
        <v>65</v>
      </c>
      <c r="C57" s="25" t="s">
        <v>12</v>
      </c>
      <c r="E57" s="34" t="s">
        <v>467</v>
      </c>
      <c r="H57" s="42"/>
      <c r="I57" s="42"/>
    </row>
    <row r="58" spans="1:9">
      <c r="A58" s="25" t="s">
        <v>59</v>
      </c>
      <c r="B58" s="33" t="s">
        <v>66</v>
      </c>
      <c r="C58" s="25" t="s">
        <v>12</v>
      </c>
      <c r="E58" s="34">
        <v>0.72</v>
      </c>
      <c r="H58" s="42"/>
      <c r="I58" s="42"/>
    </row>
    <row r="59" spans="1:9">
      <c r="A59" s="25" t="s">
        <v>59</v>
      </c>
      <c r="B59" s="33" t="s">
        <v>67</v>
      </c>
      <c r="C59" s="25" t="s">
        <v>12</v>
      </c>
      <c r="E59" s="34" t="s">
        <v>468</v>
      </c>
      <c r="H59" s="42"/>
      <c r="I59" s="42"/>
    </row>
    <row r="60" spans="1:9">
      <c r="A60" s="25" t="s">
        <v>59</v>
      </c>
      <c r="B60" s="33" t="s">
        <v>68</v>
      </c>
      <c r="C60" s="25" t="s">
        <v>12</v>
      </c>
      <c r="E60" s="34" t="s">
        <v>469</v>
      </c>
      <c r="H60" s="42"/>
      <c r="I60" s="42"/>
    </row>
    <row r="61" spans="1:9">
      <c r="A61" s="25" t="s">
        <v>59</v>
      </c>
      <c r="B61" s="25" t="s">
        <v>61</v>
      </c>
      <c r="C61" s="25" t="s">
        <v>15</v>
      </c>
      <c r="H61" s="42"/>
      <c r="I61" s="42"/>
    </row>
    <row r="62" spans="1:9">
      <c r="A62" s="11" t="s">
        <v>77</v>
      </c>
      <c r="B62" s="38" t="s">
        <v>78</v>
      </c>
      <c r="C62" s="11" t="s">
        <v>12</v>
      </c>
      <c r="E62" s="34" t="s">
        <v>470</v>
      </c>
      <c r="F62" s="34" t="s">
        <v>512</v>
      </c>
      <c r="H62" s="42" t="s">
        <v>471</v>
      </c>
      <c r="I62" s="42"/>
    </row>
    <row r="63" spans="1:9">
      <c r="A63" s="11" t="s">
        <v>77</v>
      </c>
      <c r="B63" s="38" t="s">
        <v>80</v>
      </c>
      <c r="C63" s="11" t="s">
        <v>12</v>
      </c>
      <c r="E63" s="34" t="s">
        <v>470</v>
      </c>
      <c r="F63" s="34" t="s">
        <v>512</v>
      </c>
      <c r="H63" s="42" t="s">
        <v>471</v>
      </c>
      <c r="I63" s="42"/>
    </row>
    <row r="64" spans="1:9">
      <c r="A64" s="11" t="s">
        <v>77</v>
      </c>
      <c r="B64" s="38" t="s">
        <v>290</v>
      </c>
      <c r="C64" s="11" t="s">
        <v>12</v>
      </c>
      <c r="E64" s="34" t="s">
        <v>472</v>
      </c>
      <c r="F64" s="34" t="s">
        <v>512</v>
      </c>
      <c r="H64" s="42" t="s">
        <v>513</v>
      </c>
      <c r="I64" s="42"/>
    </row>
    <row r="65" spans="1:9">
      <c r="A65" s="11" t="s">
        <v>77</v>
      </c>
      <c r="B65" s="38" t="s">
        <v>82</v>
      </c>
      <c r="C65" s="11" t="s">
        <v>12</v>
      </c>
      <c r="E65" s="34" t="s">
        <v>475</v>
      </c>
      <c r="F65" s="34" t="s">
        <v>512</v>
      </c>
      <c r="H65" s="42" t="s">
        <v>476</v>
      </c>
      <c r="I65" s="42"/>
    </row>
    <row r="66" spans="1:9">
      <c r="A66" s="11" t="s">
        <v>77</v>
      </c>
      <c r="B66" s="38" t="s">
        <v>300</v>
      </c>
      <c r="C66" s="11" t="s">
        <v>12</v>
      </c>
      <c r="E66" s="34" t="s">
        <v>477</v>
      </c>
      <c r="F66" s="34" t="s">
        <v>512</v>
      </c>
      <c r="H66" s="42" t="s">
        <v>478</v>
      </c>
      <c r="I66" s="42"/>
    </row>
    <row r="67" spans="1:9">
      <c r="A67" s="11" t="s">
        <v>77</v>
      </c>
      <c r="B67" s="38" t="s">
        <v>85</v>
      </c>
      <c r="C67" s="11" t="s">
        <v>12</v>
      </c>
      <c r="E67" s="34" t="s">
        <v>479</v>
      </c>
      <c r="F67" s="34" t="s">
        <v>514</v>
      </c>
      <c r="G67" s="34" t="s">
        <v>515</v>
      </c>
      <c r="H67" s="42" t="s">
        <v>471</v>
      </c>
      <c r="I67" s="42"/>
    </row>
    <row r="68" spans="1:9">
      <c r="A68" s="11" t="s">
        <v>77</v>
      </c>
      <c r="B68" s="38" t="s">
        <v>310</v>
      </c>
      <c r="C68" s="11" t="s">
        <v>12</v>
      </c>
      <c r="E68" s="34" t="s">
        <v>480</v>
      </c>
      <c r="F68" s="34" t="s">
        <v>514</v>
      </c>
      <c r="G68" s="34" t="s">
        <v>482</v>
      </c>
      <c r="H68" s="42" t="s">
        <v>516</v>
      </c>
      <c r="I68" s="42"/>
    </row>
    <row r="69" spans="1:9">
      <c r="A69" s="11" t="s">
        <v>77</v>
      </c>
      <c r="B69" s="38" t="s">
        <v>87</v>
      </c>
      <c r="C69" s="11" t="s">
        <v>12</v>
      </c>
      <c r="E69" s="34" t="s">
        <v>483</v>
      </c>
      <c r="F69" s="34" t="s">
        <v>512</v>
      </c>
      <c r="H69" s="42" t="s">
        <v>484</v>
      </c>
      <c r="I69" s="42"/>
    </row>
    <row r="70" spans="1:9">
      <c r="A70" s="11" t="s">
        <v>77</v>
      </c>
      <c r="B70" s="38" t="s">
        <v>320</v>
      </c>
      <c r="C70" s="11" t="s">
        <v>12</v>
      </c>
      <c r="E70" s="34" t="s">
        <v>485</v>
      </c>
      <c r="F70" s="34" t="s">
        <v>512</v>
      </c>
      <c r="H70" s="42" t="s">
        <v>436</v>
      </c>
      <c r="I70" s="42"/>
    </row>
    <row r="71" spans="1:9">
      <c r="A71" s="11" t="s">
        <v>77</v>
      </c>
      <c r="B71" s="38" t="s">
        <v>89</v>
      </c>
      <c r="C71" s="11" t="s">
        <v>12</v>
      </c>
      <c r="E71" s="34" t="s">
        <v>486</v>
      </c>
      <c r="F71" s="34" t="s">
        <v>512</v>
      </c>
      <c r="H71" s="42" t="s">
        <v>433</v>
      </c>
      <c r="I71" s="42"/>
    </row>
    <row r="72" spans="1:9">
      <c r="A72" s="11" t="s">
        <v>77</v>
      </c>
      <c r="B72" s="38" t="s">
        <v>327</v>
      </c>
      <c r="C72" s="11" t="s">
        <v>12</v>
      </c>
      <c r="E72" s="34" t="s">
        <v>487</v>
      </c>
      <c r="F72" s="34" t="s">
        <v>512</v>
      </c>
      <c r="H72" s="42" t="s">
        <v>517</v>
      </c>
      <c r="I72" s="42"/>
    </row>
    <row r="73" spans="1:9">
      <c r="A73" s="11" t="s">
        <v>77</v>
      </c>
      <c r="B73" s="38" t="s">
        <v>91</v>
      </c>
      <c r="C73" s="11" t="s">
        <v>12</v>
      </c>
      <c r="E73" s="34" t="s">
        <v>488</v>
      </c>
      <c r="F73" s="34" t="s">
        <v>518</v>
      </c>
      <c r="H73" s="44">
        <v>0</v>
      </c>
      <c r="I73" s="42"/>
    </row>
    <row r="74" spans="1:9">
      <c r="A74" s="11" t="s">
        <v>77</v>
      </c>
      <c r="B74" s="38" t="s">
        <v>337</v>
      </c>
      <c r="C74" s="11" t="s">
        <v>12</v>
      </c>
      <c r="E74" s="34" t="s">
        <v>490</v>
      </c>
      <c r="F74" s="34" t="s">
        <v>512</v>
      </c>
      <c r="H74" s="42" t="s">
        <v>519</v>
      </c>
      <c r="I74" s="42"/>
    </row>
    <row r="75" spans="1:9">
      <c r="A75" s="11" t="s">
        <v>77</v>
      </c>
      <c r="B75" s="38" t="s">
        <v>341</v>
      </c>
      <c r="C75" s="11" t="s">
        <v>12</v>
      </c>
      <c r="E75" s="34" t="s">
        <v>488</v>
      </c>
      <c r="F75" s="34" t="s">
        <v>512</v>
      </c>
      <c r="H75" s="42" t="s">
        <v>492</v>
      </c>
      <c r="I75" s="42"/>
    </row>
    <row r="76" spans="1:9">
      <c r="A76" s="11" t="s">
        <v>77</v>
      </c>
      <c r="B76" s="38" t="s">
        <v>344</v>
      </c>
      <c r="C76" s="11" t="s">
        <v>12</v>
      </c>
      <c r="E76" s="34" t="s">
        <v>493</v>
      </c>
      <c r="F76" s="34" t="s">
        <v>512</v>
      </c>
      <c r="H76" s="42" t="s">
        <v>520</v>
      </c>
      <c r="I76" s="42"/>
    </row>
    <row r="77" spans="1:9">
      <c r="A77" s="11" t="s">
        <v>77</v>
      </c>
      <c r="B77" s="38" t="s">
        <v>348</v>
      </c>
      <c r="C77" s="11" t="s">
        <v>12</v>
      </c>
      <c r="E77" s="34" t="s">
        <v>494</v>
      </c>
      <c r="F77" s="34" t="s">
        <v>512</v>
      </c>
      <c r="H77" s="42" t="s">
        <v>495</v>
      </c>
      <c r="I77" s="42"/>
    </row>
    <row r="78" spans="1:9">
      <c r="A78" s="11" t="s">
        <v>77</v>
      </c>
      <c r="B78" s="38" t="s">
        <v>352</v>
      </c>
      <c r="C78" s="11" t="s">
        <v>12</v>
      </c>
      <c r="E78" s="34" t="s">
        <v>496</v>
      </c>
      <c r="F78" s="34" t="s">
        <v>514</v>
      </c>
      <c r="G78" s="34" t="s">
        <v>495</v>
      </c>
      <c r="H78" s="44">
        <v>0</v>
      </c>
      <c r="I78" s="42"/>
    </row>
    <row r="79" spans="1:9">
      <c r="A79" s="11" t="s">
        <v>77</v>
      </c>
      <c r="B79" s="38" t="s">
        <v>355</v>
      </c>
      <c r="C79" s="11" t="s">
        <v>12</v>
      </c>
      <c r="E79" s="34" t="s">
        <v>497</v>
      </c>
      <c r="F79" s="34" t="s">
        <v>514</v>
      </c>
      <c r="G79" s="34">
        <v>0.04</v>
      </c>
      <c r="H79" s="42" t="s">
        <v>437</v>
      </c>
      <c r="I79" s="42"/>
    </row>
    <row r="80" spans="1:9">
      <c r="A80" s="11" t="s">
        <v>77</v>
      </c>
      <c r="B80" s="38" t="s">
        <v>359</v>
      </c>
      <c r="C80" s="11" t="s">
        <v>12</v>
      </c>
      <c r="E80" s="34" t="s">
        <v>498</v>
      </c>
      <c r="F80" s="34" t="s">
        <v>512</v>
      </c>
      <c r="H80" s="42" t="s">
        <v>426</v>
      </c>
      <c r="I80" s="42"/>
    </row>
    <row r="81" spans="1:9">
      <c r="A81" s="11" t="s">
        <v>77</v>
      </c>
      <c r="B81" s="38" t="s">
        <v>364</v>
      </c>
      <c r="C81" s="11" t="s">
        <v>12</v>
      </c>
      <c r="E81" s="34" t="s">
        <v>464</v>
      </c>
      <c r="F81" s="34" t="s">
        <v>512</v>
      </c>
      <c r="H81" s="42" t="s">
        <v>521</v>
      </c>
      <c r="I81" s="42"/>
    </row>
    <row r="82" spans="1:9">
      <c r="A82" s="11" t="s">
        <v>77</v>
      </c>
      <c r="B82" s="38" t="s">
        <v>368</v>
      </c>
      <c r="C82" s="11" t="s">
        <v>12</v>
      </c>
      <c r="E82" s="34" t="s">
        <v>499</v>
      </c>
      <c r="F82" s="34" t="s">
        <v>512</v>
      </c>
      <c r="H82" s="42" t="s">
        <v>444</v>
      </c>
      <c r="I82" s="42"/>
    </row>
    <row r="83" spans="1:9">
      <c r="A83" s="11" t="s">
        <v>77</v>
      </c>
      <c r="B83" s="38" t="s">
        <v>373</v>
      </c>
      <c r="C83" s="11" t="s">
        <v>12</v>
      </c>
      <c r="E83" s="34" t="s">
        <v>500</v>
      </c>
      <c r="F83" s="34" t="s">
        <v>512</v>
      </c>
      <c r="H83" s="44">
        <v>0.03</v>
      </c>
      <c r="I83" s="42"/>
    </row>
    <row r="84" spans="1:9">
      <c r="A84" s="11" t="s">
        <v>102</v>
      </c>
      <c r="B84" s="38" t="s">
        <v>103</v>
      </c>
      <c r="C84" s="11" t="s">
        <v>15</v>
      </c>
      <c r="E84" s="34" t="s">
        <v>501</v>
      </c>
      <c r="F84" s="34" t="s">
        <v>522</v>
      </c>
      <c r="G84" s="34" t="s">
        <v>523</v>
      </c>
      <c r="H84" s="42" t="s">
        <v>524</v>
      </c>
      <c r="I84" s="42"/>
    </row>
    <row r="85" spans="1:9">
      <c r="A85" s="11" t="s">
        <v>104</v>
      </c>
      <c r="B85" s="38" t="s">
        <v>105</v>
      </c>
      <c r="C85" s="11" t="s">
        <v>12</v>
      </c>
      <c r="E85" s="34" t="s">
        <v>503</v>
      </c>
      <c r="F85" s="34" t="s">
        <v>518</v>
      </c>
      <c r="H85" s="42" t="s">
        <v>525</v>
      </c>
      <c r="I85" s="42"/>
    </row>
    <row r="86" spans="1:9">
      <c r="A86" s="23" t="s">
        <v>106</v>
      </c>
      <c r="B86" s="39" t="s">
        <v>107</v>
      </c>
      <c r="C86" s="11" t="s">
        <v>15</v>
      </c>
      <c r="E86" s="34" t="s">
        <v>504</v>
      </c>
      <c r="H86" s="42"/>
      <c r="I86" s="42"/>
    </row>
    <row r="87" spans="1:9" ht="15">
      <c r="A87" t="s">
        <v>108</v>
      </c>
      <c r="B87" t="s">
        <v>109</v>
      </c>
      <c r="C87" s="25" t="s">
        <v>15</v>
      </c>
      <c r="H87" s="42"/>
      <c r="I87" s="42"/>
    </row>
    <row r="88" spans="1:9" ht="15">
      <c r="A88" t="s">
        <v>108</v>
      </c>
      <c r="B88" t="s">
        <v>110</v>
      </c>
      <c r="C88" s="25" t="s">
        <v>12</v>
      </c>
      <c r="D88" s="34">
        <v>3.4000000000000002E-2</v>
      </c>
      <c r="E88" s="34">
        <v>0.13600000000000001</v>
      </c>
      <c r="F88" s="34" t="s">
        <v>526</v>
      </c>
      <c r="H88" s="42"/>
      <c r="I88" s="42"/>
    </row>
    <row r="89" spans="1:9" ht="15">
      <c r="A89" t="s">
        <v>108</v>
      </c>
      <c r="B89" t="s">
        <v>111</v>
      </c>
      <c r="C89" s="25" t="s">
        <v>15</v>
      </c>
      <c r="H89" s="42"/>
      <c r="I89" s="42"/>
    </row>
    <row r="90" spans="1:9" ht="15">
      <c r="A90" t="s">
        <v>108</v>
      </c>
      <c r="B90" t="s">
        <v>112</v>
      </c>
      <c r="C90" s="25" t="s">
        <v>12</v>
      </c>
      <c r="H90" s="42"/>
      <c r="I90" s="42"/>
    </row>
    <row r="91" spans="1:9" ht="15">
      <c r="A91" t="s">
        <v>113</v>
      </c>
      <c r="B91" t="s">
        <v>115</v>
      </c>
      <c r="C91" s="25" t="s">
        <v>12</v>
      </c>
      <c r="H91" s="42"/>
      <c r="I91" s="42"/>
    </row>
    <row r="92" spans="1:9" ht="15">
      <c r="A92" t="s">
        <v>113</v>
      </c>
      <c r="B92" t="s">
        <v>116</v>
      </c>
      <c r="C92" s="25" t="s">
        <v>12</v>
      </c>
      <c r="H92" s="42"/>
      <c r="I92" s="42"/>
    </row>
    <row r="93" spans="1:9" ht="15">
      <c r="A93" t="s">
        <v>59</v>
      </c>
      <c r="B93" t="s">
        <v>117</v>
      </c>
      <c r="C93" s="25" t="s">
        <v>15</v>
      </c>
      <c r="H93" s="42"/>
      <c r="I93" s="42"/>
    </row>
    <row r="94" spans="1:9" ht="15">
      <c r="A94" t="s">
        <v>59</v>
      </c>
      <c r="B94" t="s">
        <v>118</v>
      </c>
      <c r="C94" s="25" t="s">
        <v>12</v>
      </c>
      <c r="H94" s="42"/>
      <c r="I94" s="42"/>
    </row>
    <row r="95" spans="1:9" ht="15">
      <c r="A95" t="s">
        <v>108</v>
      </c>
      <c r="B95" t="s">
        <v>119</v>
      </c>
      <c r="C95" s="25" t="s">
        <v>15</v>
      </c>
      <c r="H95" s="42"/>
      <c r="I95" s="42"/>
    </row>
    <row r="96" spans="1:9" ht="15">
      <c r="A96" t="s">
        <v>108</v>
      </c>
      <c r="B96" t="s">
        <v>120</v>
      </c>
      <c r="C96" s="25" t="s">
        <v>12</v>
      </c>
      <c r="H96" s="42"/>
      <c r="I96" s="42"/>
    </row>
    <row r="97" spans="1:9" ht="15">
      <c r="A97" t="s">
        <v>121</v>
      </c>
      <c r="B97" t="s">
        <v>122</v>
      </c>
      <c r="C97" s="25" t="s">
        <v>15</v>
      </c>
      <c r="H97" s="42"/>
      <c r="I97" s="42"/>
    </row>
    <row r="98" spans="1:9" ht="15">
      <c r="A98" t="s">
        <v>121</v>
      </c>
      <c r="B98" t="s">
        <v>123</v>
      </c>
      <c r="C98" s="25" t="s">
        <v>12</v>
      </c>
      <c r="H98" s="42"/>
      <c r="I98" s="42"/>
    </row>
    <row r="99" spans="1:9" ht="15">
      <c r="A99" t="s">
        <v>124</v>
      </c>
      <c r="B99" t="s">
        <v>125</v>
      </c>
      <c r="C99" s="25" t="s">
        <v>12</v>
      </c>
      <c r="H99" s="42"/>
      <c r="I99" s="42"/>
    </row>
    <row r="100" spans="1:9" ht="15">
      <c r="A100" t="s">
        <v>124</v>
      </c>
      <c r="B100" t="s">
        <v>126</v>
      </c>
      <c r="C100" s="25" t="s">
        <v>15</v>
      </c>
      <c r="H100" s="42"/>
      <c r="I100" s="42"/>
    </row>
    <row r="101" spans="1:9" ht="15">
      <c r="A101" t="s">
        <v>124</v>
      </c>
      <c r="B101" t="s">
        <v>127</v>
      </c>
      <c r="C101" s="25" t="s">
        <v>12</v>
      </c>
      <c r="H101" s="42"/>
      <c r="I101" s="42"/>
    </row>
    <row r="102" spans="1:9" ht="15">
      <c r="A102" t="s">
        <v>124</v>
      </c>
      <c r="B102" t="s">
        <v>128</v>
      </c>
      <c r="C102" s="25" t="s">
        <v>15</v>
      </c>
      <c r="H102" s="42"/>
      <c r="I102" s="42"/>
    </row>
    <row r="103" spans="1:9" ht="15">
      <c r="A103" t="s">
        <v>124</v>
      </c>
      <c r="B103" t="s">
        <v>129</v>
      </c>
      <c r="C103" s="25" t="s">
        <v>15</v>
      </c>
      <c r="H103" s="42"/>
      <c r="I103" s="42"/>
    </row>
    <row r="104" spans="1:9" ht="15">
      <c r="A104" t="s">
        <v>124</v>
      </c>
      <c r="B104" t="s">
        <v>130</v>
      </c>
      <c r="C104" s="25" t="s">
        <v>12</v>
      </c>
      <c r="H104" s="42"/>
      <c r="I104" s="42"/>
    </row>
    <row r="105" spans="1:9" ht="15">
      <c r="A105" s="32"/>
      <c r="B105" s="32"/>
      <c r="H105" s="42"/>
      <c r="I105" s="42"/>
    </row>
    <row r="106" spans="1:9" ht="15">
      <c r="A106" s="32"/>
      <c r="B106" s="32"/>
      <c r="H106" s="42"/>
      <c r="I106" s="42"/>
    </row>
    <row r="107" spans="1:9" ht="15">
      <c r="A107" s="32"/>
      <c r="B107" s="32"/>
      <c r="H107" s="42"/>
      <c r="I107" s="42"/>
    </row>
    <row r="108" spans="1:9" ht="15">
      <c r="A108" s="32"/>
      <c r="B108" s="32"/>
      <c r="H108" s="42"/>
      <c r="I108" s="42"/>
    </row>
    <row r="109" spans="1:9" ht="15">
      <c r="A109" s="32"/>
      <c r="B109" s="32"/>
      <c r="H109" s="42"/>
      <c r="I109" s="42"/>
    </row>
    <row r="110" spans="1:9" ht="15">
      <c r="H110" s="42"/>
      <c r="I110" s="42"/>
    </row>
  </sheetData>
  <mergeCells count="1">
    <mergeCell ref="D1:E1"/>
  </mergeCells>
  <conditionalFormatting sqref="B1:B61 B110:B1048576">
    <cfRule type="expression" dxfId="12" priority="3">
      <formula>$C3="privilege"</formula>
    </cfRule>
  </conditionalFormatting>
  <conditionalFormatting sqref="B62:B86 B105:B109">
    <cfRule type="expression" dxfId="11" priority="1">
      <formula>$E62="privilege"</formula>
    </cfRule>
  </conditionalFormatting>
  <dataValidations count="3">
    <dataValidation type="list" allowBlank="1" showInputMessage="1" showErrorMessage="1" sqref="C3:C61" xr:uid="{34A8F8B1-F121-4862-8D41-343013BA77F5}">
      <formula1>"Public,Privilege"</formula1>
    </dataValidation>
    <dataValidation type="list" showInputMessage="1" showErrorMessage="1" sqref="C62:C109" xr:uid="{8C7C7BF9-7254-4ABC-B96E-D8CF20403A47}">
      <formula1>"Public, Privilege"</formula1>
    </dataValidation>
    <dataValidation type="list" allowBlank="1" showInputMessage="1" showErrorMessage="1" sqref="F3:F110" xr:uid="{2521757F-98EA-4E98-B3AA-7723FBC161D5}">
      <formula1>"1 visual,2 columns, 3 columns, pink promo,timeline, recurring bloc,grey banner"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73A50-B7C3-4A1A-A821-682C5EF8A600}">
  <dimension ref="A1:A4"/>
  <sheetViews>
    <sheetView workbookViewId="0">
      <selection activeCell="D25" sqref="D25"/>
    </sheetView>
  </sheetViews>
  <sheetFormatPr defaultColWidth="10.85546875" defaultRowHeight="14.45"/>
  <cols>
    <col min="1" max="1" width="76.7109375" customWidth="1"/>
  </cols>
  <sheetData>
    <row r="1" spans="1:1">
      <c r="A1" t="s">
        <v>527</v>
      </c>
    </row>
    <row r="2" spans="1:1">
      <c r="A2" t="s">
        <v>528</v>
      </c>
    </row>
    <row r="3" spans="1:1">
      <c r="A3" t="s">
        <v>529</v>
      </c>
    </row>
    <row r="4" spans="1:1">
      <c r="A4" t="s">
        <v>530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67B9-D0EE-42F1-8105-600AD8250E83}">
  <sheetPr codeName="Feuil4"/>
  <dimension ref="A3:P23"/>
  <sheetViews>
    <sheetView workbookViewId="0">
      <selection activeCell="C16" sqref="C16"/>
    </sheetView>
  </sheetViews>
  <sheetFormatPr defaultColWidth="11.42578125" defaultRowHeight="14.45"/>
  <cols>
    <col min="1" max="1" width="25.7109375" bestFit="1" customWidth="1"/>
    <col min="2" max="2" width="28.42578125" bestFit="1" customWidth="1"/>
    <col min="3" max="3" width="26.140625" bestFit="1" customWidth="1"/>
    <col min="4" max="4" width="19.7109375" bestFit="1" customWidth="1"/>
    <col min="14" max="14" width="25.7109375" bestFit="1" customWidth="1"/>
    <col min="15" max="15" width="29.28515625" bestFit="1" customWidth="1"/>
    <col min="16" max="16" width="27.140625" bestFit="1" customWidth="1"/>
  </cols>
  <sheetData>
    <row r="3" spans="1:16">
      <c r="A3" s="6" t="s">
        <v>531</v>
      </c>
      <c r="B3" t="s">
        <v>532</v>
      </c>
      <c r="C3" t="s">
        <v>533</v>
      </c>
      <c r="N3" s="6" t="s">
        <v>531</v>
      </c>
      <c r="O3" t="s">
        <v>534</v>
      </c>
      <c r="P3" t="s">
        <v>535</v>
      </c>
    </row>
    <row r="4" spans="1:16">
      <c r="A4" s="1" t="s">
        <v>415</v>
      </c>
      <c r="B4">
        <v>3.3000000000000002E-2</v>
      </c>
      <c r="C4">
        <v>0.30249999999999999</v>
      </c>
      <c r="N4" s="1" t="s">
        <v>415</v>
      </c>
      <c r="O4" s="2">
        <v>1.7000000000000001E-2</v>
      </c>
      <c r="P4" s="2">
        <v>1.95E-2</v>
      </c>
    </row>
    <row r="5" spans="1:16">
      <c r="A5" s="1" t="s">
        <v>405</v>
      </c>
      <c r="B5">
        <v>6.9666666666666668E-2</v>
      </c>
      <c r="C5">
        <v>0.32833333333333331</v>
      </c>
      <c r="N5" s="1" t="s">
        <v>405</v>
      </c>
      <c r="O5" s="2" t="e">
        <v>#DIV/0!</v>
      </c>
      <c r="P5" s="2">
        <v>2.2666666666666668E-2</v>
      </c>
    </row>
    <row r="6" spans="1:16">
      <c r="A6" s="1" t="s">
        <v>408</v>
      </c>
      <c r="B6">
        <v>7.5333333333333335E-2</v>
      </c>
      <c r="C6">
        <v>0.42333333333333334</v>
      </c>
      <c r="N6" s="1" t="s">
        <v>408</v>
      </c>
      <c r="O6" s="2">
        <v>5.4999999999999997E-3</v>
      </c>
      <c r="P6" s="2">
        <v>0.02</v>
      </c>
    </row>
    <row r="7" spans="1:16">
      <c r="A7" s="1" t="s">
        <v>411</v>
      </c>
      <c r="B7">
        <v>8.900000000000001E-2</v>
      </c>
      <c r="C7">
        <v>0.29199999999999998</v>
      </c>
      <c r="N7" s="1" t="s">
        <v>411</v>
      </c>
      <c r="O7" s="2">
        <v>0</v>
      </c>
      <c r="P7" s="2">
        <v>1.4E-2</v>
      </c>
    </row>
    <row r="8" spans="1:16">
      <c r="A8" s="1" t="s">
        <v>422</v>
      </c>
      <c r="B8" s="2">
        <v>0.11799999999999999</v>
      </c>
      <c r="C8" s="2">
        <v>0.42849999999999999</v>
      </c>
      <c r="N8" s="1" t="s">
        <v>422</v>
      </c>
      <c r="O8" s="2" t="e">
        <v>#DIV/0!</v>
      </c>
      <c r="P8" s="2">
        <v>2.7666666666666669E-2</v>
      </c>
    </row>
    <row r="9" spans="1:16">
      <c r="A9" s="1" t="s">
        <v>421</v>
      </c>
      <c r="B9" s="2">
        <v>4.5999999999999999E-2</v>
      </c>
      <c r="C9" s="2">
        <v>0.32750000000000001</v>
      </c>
      <c r="N9" s="1" t="s">
        <v>421</v>
      </c>
      <c r="O9" s="2" t="e">
        <v>#DIV/0!</v>
      </c>
      <c r="P9" s="2">
        <v>5.6000000000000001E-2</v>
      </c>
    </row>
    <row r="10" spans="1:16">
      <c r="A10" s="1" t="s">
        <v>418</v>
      </c>
      <c r="B10" s="2">
        <v>5.1500000000000004E-2</v>
      </c>
      <c r="C10" s="2">
        <v>0.27500000000000002</v>
      </c>
      <c r="N10" s="1" t="s">
        <v>418</v>
      </c>
      <c r="O10" s="2" t="e">
        <v>#DIV/0!</v>
      </c>
      <c r="P10" s="2">
        <v>1.2999999999999999E-2</v>
      </c>
    </row>
    <row r="11" spans="1:16">
      <c r="A11" s="1" t="s">
        <v>419</v>
      </c>
      <c r="B11" s="2">
        <v>6.6000000000000003E-2</v>
      </c>
      <c r="C11" s="2">
        <v>0.40500000000000003</v>
      </c>
      <c r="N11" s="1" t="s">
        <v>419</v>
      </c>
      <c r="O11" s="2" t="e">
        <v>#DIV/0!</v>
      </c>
      <c r="P11" s="2" t="e">
        <v>#DIV/0!</v>
      </c>
    </row>
    <row r="12" spans="1:16">
      <c r="A12" s="1" t="s">
        <v>399</v>
      </c>
      <c r="B12">
        <v>7.2999999999999995E-2</v>
      </c>
      <c r="C12">
        <v>0.42099999999999999</v>
      </c>
      <c r="N12" s="1" t="s">
        <v>399</v>
      </c>
      <c r="O12" s="2">
        <v>8.9999999999999993E-3</v>
      </c>
      <c r="P12" s="2">
        <v>8.9999999999999993E-3</v>
      </c>
    </row>
    <row r="13" spans="1:16">
      <c r="A13" s="1" t="s">
        <v>431</v>
      </c>
      <c r="B13" t="e">
        <v>#DIV/0!</v>
      </c>
      <c r="C13">
        <v>0.48</v>
      </c>
      <c r="N13" s="1" t="s">
        <v>431</v>
      </c>
      <c r="O13" s="2"/>
      <c r="P13" s="2" t="e">
        <v>#DIV/0!</v>
      </c>
    </row>
    <row r="14" spans="1:16">
      <c r="A14" s="1" t="s">
        <v>440</v>
      </c>
      <c r="B14" t="e">
        <v>#DIV/0!</v>
      </c>
      <c r="C14" t="e">
        <v>#DIV/0!</v>
      </c>
      <c r="N14" s="1" t="s">
        <v>440</v>
      </c>
      <c r="O14" s="2">
        <v>0.02</v>
      </c>
      <c r="P14" s="2" t="e">
        <v>#DIV/0!</v>
      </c>
    </row>
    <row r="15" spans="1:16">
      <c r="A15" s="1" t="s">
        <v>450</v>
      </c>
      <c r="C15">
        <v>0.8</v>
      </c>
      <c r="N15" s="1" t="s">
        <v>450</v>
      </c>
      <c r="O15" s="2"/>
      <c r="P15" s="2"/>
    </row>
    <row r="16" spans="1:16">
      <c r="A16" s="1" t="s">
        <v>10</v>
      </c>
      <c r="B16" t="e">
        <v>#DIV/0!</v>
      </c>
      <c r="C16" t="e">
        <v>#DIV/0!</v>
      </c>
      <c r="N16" s="1" t="s">
        <v>10</v>
      </c>
      <c r="O16" s="2" t="e">
        <v>#DIV/0!</v>
      </c>
      <c r="P16" s="2" t="e">
        <v>#DIV/0!</v>
      </c>
    </row>
    <row r="17" spans="1:16">
      <c r="A17" s="1" t="s">
        <v>56</v>
      </c>
      <c r="C17" t="e">
        <v>#DIV/0!</v>
      </c>
      <c r="N17" s="1" t="s">
        <v>56</v>
      </c>
      <c r="O17" s="2"/>
      <c r="P17" s="2"/>
    </row>
    <row r="18" spans="1:16">
      <c r="A18" s="1" t="s">
        <v>59</v>
      </c>
      <c r="C18">
        <v>0.72</v>
      </c>
      <c r="N18" s="1" t="s">
        <v>59</v>
      </c>
      <c r="O18" s="2"/>
      <c r="P18" s="2"/>
    </row>
    <row r="19" spans="1:16">
      <c r="A19" s="1" t="s">
        <v>77</v>
      </c>
      <c r="C19" t="e">
        <v>#DIV/0!</v>
      </c>
      <c r="N19" s="1" t="s">
        <v>77</v>
      </c>
      <c r="O19" s="2" t="e">
        <v>#DIV/0!</v>
      </c>
      <c r="P19" s="2">
        <v>1.6666666666666668E-3</v>
      </c>
    </row>
    <row r="20" spans="1:16">
      <c r="A20" s="1" t="s">
        <v>102</v>
      </c>
      <c r="C20" t="e">
        <v>#DIV/0!</v>
      </c>
      <c r="N20" s="1" t="s">
        <v>102</v>
      </c>
      <c r="O20" s="2"/>
      <c r="P20" s="2" t="e">
        <v>#DIV/0!</v>
      </c>
    </row>
    <row r="21" spans="1:16">
      <c r="A21" s="1" t="s">
        <v>104</v>
      </c>
      <c r="C21" t="e">
        <v>#DIV/0!</v>
      </c>
      <c r="N21" s="1" t="s">
        <v>104</v>
      </c>
      <c r="O21" s="2"/>
      <c r="P21" s="2">
        <v>0</v>
      </c>
    </row>
    <row r="22" spans="1:16">
      <c r="A22" s="1" t="s">
        <v>106</v>
      </c>
      <c r="C22" t="e">
        <v>#DIV/0!</v>
      </c>
      <c r="N22" s="1" t="s">
        <v>106</v>
      </c>
      <c r="O22" s="2"/>
      <c r="P22" s="2" t="e">
        <v>#DIV/0!</v>
      </c>
    </row>
    <row r="23" spans="1:16">
      <c r="A23" s="1" t="s">
        <v>536</v>
      </c>
      <c r="B23" s="2">
        <v>7.2500000000000009E-2</v>
      </c>
      <c r="C23" s="2">
        <v>0.39199999999999996</v>
      </c>
      <c r="N23" s="1" t="s">
        <v>536</v>
      </c>
      <c r="O23" s="2">
        <v>7.1249999999999994E-3</v>
      </c>
      <c r="P23" s="2">
        <v>1.5720000000000001E-2</v>
      </c>
    </row>
  </sheetData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B4D3-2C0A-42E0-8414-F8DFC4C2D0DA}">
  <sheetPr codeName="Feuil7"/>
  <dimension ref="B2:K23"/>
  <sheetViews>
    <sheetView workbookViewId="0"/>
  </sheetViews>
  <sheetFormatPr defaultColWidth="8.7109375" defaultRowHeight="14.45"/>
  <sheetData>
    <row r="2" spans="2:11">
      <c r="B2" s="4" t="s">
        <v>537</v>
      </c>
    </row>
    <row r="3" spans="2:11">
      <c r="B3" s="5" t="s">
        <v>538</v>
      </c>
    </row>
    <row r="4" spans="2:11">
      <c r="B4" s="5"/>
    </row>
    <row r="6" spans="2:11">
      <c r="C6" t="s">
        <v>539</v>
      </c>
      <c r="D6" t="s">
        <v>540</v>
      </c>
      <c r="E6" t="s">
        <v>391</v>
      </c>
      <c r="F6" t="s">
        <v>541</v>
      </c>
      <c r="G6" t="s">
        <v>393</v>
      </c>
      <c r="H6" t="s">
        <v>394</v>
      </c>
      <c r="I6" t="s">
        <v>395</v>
      </c>
      <c r="J6" t="s">
        <v>542</v>
      </c>
      <c r="K6" t="s">
        <v>543</v>
      </c>
    </row>
    <row r="7" spans="2:11">
      <c r="C7">
        <v>6</v>
      </c>
      <c r="D7" s="3" t="s">
        <v>544</v>
      </c>
      <c r="E7" t="s">
        <v>400</v>
      </c>
      <c r="F7" t="s">
        <v>401</v>
      </c>
      <c r="G7" s="2">
        <v>7.2999999999999995E-2</v>
      </c>
      <c r="H7" s="2">
        <v>0.42099999999999999</v>
      </c>
      <c r="I7" s="2" t="s">
        <v>402</v>
      </c>
      <c r="J7" s="2" t="s">
        <v>403</v>
      </c>
      <c r="K7" s="2">
        <v>8.9999999999999993E-3</v>
      </c>
    </row>
    <row r="8" spans="2:11">
      <c r="C8">
        <v>7</v>
      </c>
      <c r="D8" s="3" t="s">
        <v>545</v>
      </c>
      <c r="E8" t="s">
        <v>400</v>
      </c>
      <c r="F8" t="s">
        <v>401</v>
      </c>
      <c r="G8" s="2">
        <v>5.8999999999999997E-2</v>
      </c>
      <c r="H8" s="2">
        <v>0.26800000000000002</v>
      </c>
      <c r="I8" s="2" t="s">
        <v>406</v>
      </c>
      <c r="J8" s="2" t="s">
        <v>403</v>
      </c>
      <c r="K8" s="2" t="s">
        <v>420</v>
      </c>
    </row>
    <row r="9" spans="2:11">
      <c r="C9">
        <v>7</v>
      </c>
      <c r="D9" s="3" t="s">
        <v>545</v>
      </c>
      <c r="E9" t="s">
        <v>400</v>
      </c>
      <c r="F9" t="s">
        <v>401</v>
      </c>
      <c r="G9" s="2">
        <v>6.4000000000000001E-2</v>
      </c>
      <c r="H9" s="2">
        <v>0.29399999999999998</v>
      </c>
      <c r="I9" s="2" t="s">
        <v>406</v>
      </c>
      <c r="J9" s="2" t="s">
        <v>403</v>
      </c>
      <c r="K9" s="2" t="s">
        <v>420</v>
      </c>
    </row>
    <row r="10" spans="2:11">
      <c r="C10">
        <v>7</v>
      </c>
      <c r="D10" s="3" t="s">
        <v>545</v>
      </c>
      <c r="E10" t="s">
        <v>400</v>
      </c>
      <c r="F10" t="s">
        <v>401</v>
      </c>
      <c r="G10" s="2">
        <v>5.7000000000000002E-2</v>
      </c>
      <c r="H10" s="2">
        <v>0.32</v>
      </c>
      <c r="I10" s="2" t="s">
        <v>412</v>
      </c>
      <c r="J10" s="2" t="s">
        <v>410</v>
      </c>
      <c r="K10" s="2">
        <v>0</v>
      </c>
    </row>
    <row r="11" spans="2:11">
      <c r="C11">
        <v>7</v>
      </c>
      <c r="D11" s="3" t="s">
        <v>545</v>
      </c>
      <c r="E11" t="s">
        <v>400</v>
      </c>
      <c r="F11" t="s">
        <v>401</v>
      </c>
      <c r="G11" s="2">
        <v>8.3000000000000004E-2</v>
      </c>
      <c r="H11" s="2">
        <v>0.438</v>
      </c>
      <c r="I11" s="2" t="s">
        <v>406</v>
      </c>
      <c r="J11" s="2" t="s">
        <v>403</v>
      </c>
      <c r="K11" s="2" t="s">
        <v>420</v>
      </c>
    </row>
    <row r="12" spans="2:11">
      <c r="C12">
        <v>7</v>
      </c>
      <c r="D12" s="3" t="s">
        <v>545</v>
      </c>
      <c r="E12" t="s">
        <v>400</v>
      </c>
      <c r="F12" t="s">
        <v>401</v>
      </c>
      <c r="G12" s="2">
        <v>6.4000000000000001E-2</v>
      </c>
      <c r="H12" s="2">
        <v>0.52900000000000003</v>
      </c>
      <c r="I12" s="2" t="s">
        <v>412</v>
      </c>
      <c r="J12" s="2" t="s">
        <v>410</v>
      </c>
      <c r="K12" s="2">
        <v>1.0999999999999999E-2</v>
      </c>
    </row>
    <row r="13" spans="2:11">
      <c r="C13">
        <v>7</v>
      </c>
      <c r="D13" s="3" t="s">
        <v>545</v>
      </c>
      <c r="E13" t="s">
        <v>400</v>
      </c>
      <c r="F13" t="s">
        <v>401</v>
      </c>
      <c r="G13" s="2">
        <v>6.7000000000000004E-2</v>
      </c>
      <c r="H13" s="2">
        <v>0.41299999999999998</v>
      </c>
      <c r="I13" s="2" t="s">
        <v>412</v>
      </c>
      <c r="J13" s="2" t="s">
        <v>410</v>
      </c>
      <c r="K13" s="2">
        <v>0</v>
      </c>
    </row>
    <row r="14" spans="2:11">
      <c r="C14">
        <v>7</v>
      </c>
      <c r="D14" s="3" t="s">
        <v>545</v>
      </c>
      <c r="E14" t="s">
        <v>400</v>
      </c>
      <c r="F14" t="s">
        <v>401</v>
      </c>
      <c r="G14" s="2">
        <v>6.7000000000000004E-2</v>
      </c>
      <c r="H14" s="2">
        <v>0.27900000000000003</v>
      </c>
      <c r="I14" s="2" t="s">
        <v>406</v>
      </c>
      <c r="J14" s="2" t="s">
        <v>403</v>
      </c>
      <c r="K14" s="2" t="s">
        <v>420</v>
      </c>
    </row>
    <row r="15" spans="2:11">
      <c r="C15">
        <v>7</v>
      </c>
      <c r="D15" s="3" t="s">
        <v>545</v>
      </c>
      <c r="E15" t="s">
        <v>400</v>
      </c>
      <c r="F15" t="s">
        <v>401</v>
      </c>
      <c r="G15" s="2">
        <v>9.8000000000000004E-2</v>
      </c>
      <c r="H15" s="2">
        <v>0.44700000000000001</v>
      </c>
      <c r="I15" s="2" t="s">
        <v>412</v>
      </c>
      <c r="J15" s="2" t="s">
        <v>410</v>
      </c>
      <c r="K15" s="2">
        <v>0</v>
      </c>
    </row>
    <row r="16" spans="2:11">
      <c r="C16">
        <v>7</v>
      </c>
      <c r="D16" s="3" t="s">
        <v>545</v>
      </c>
      <c r="E16" t="s">
        <v>400</v>
      </c>
      <c r="F16" t="s">
        <v>401</v>
      </c>
      <c r="G16" s="2">
        <v>0.14299999999999999</v>
      </c>
      <c r="H16" s="2">
        <v>0.14299999999999999</v>
      </c>
      <c r="I16" s="2" t="s">
        <v>414</v>
      </c>
      <c r="J16" s="2" t="s">
        <v>546</v>
      </c>
      <c r="K16" s="2">
        <v>0</v>
      </c>
    </row>
    <row r="17" spans="3:11">
      <c r="C17">
        <v>7</v>
      </c>
      <c r="D17" s="3" t="s">
        <v>545</v>
      </c>
      <c r="E17" t="s">
        <v>400</v>
      </c>
      <c r="F17" t="s">
        <v>401</v>
      </c>
      <c r="G17" s="2">
        <v>3.3000000000000002E-2</v>
      </c>
      <c r="H17" s="2">
        <v>0.39600000000000002</v>
      </c>
      <c r="I17" s="2">
        <v>0</v>
      </c>
      <c r="J17" s="2">
        <v>0</v>
      </c>
      <c r="K17" s="2" t="s">
        <v>420</v>
      </c>
    </row>
    <row r="18" spans="3:11">
      <c r="C18">
        <v>7</v>
      </c>
      <c r="D18" s="3" t="s">
        <v>545</v>
      </c>
      <c r="E18" t="s">
        <v>409</v>
      </c>
      <c r="F18" t="s">
        <v>401</v>
      </c>
      <c r="G18" s="2" t="s">
        <v>420</v>
      </c>
      <c r="H18" s="2">
        <v>0.20899999999999999</v>
      </c>
      <c r="I18" s="2" t="s">
        <v>417</v>
      </c>
      <c r="J18" s="2" t="s">
        <v>403</v>
      </c>
      <c r="K18" s="2">
        <v>1.7000000000000001E-2</v>
      </c>
    </row>
    <row r="19" spans="3:11">
      <c r="C19">
        <v>8</v>
      </c>
      <c r="D19" s="3" t="s">
        <v>547</v>
      </c>
      <c r="E19" t="s">
        <v>400</v>
      </c>
      <c r="F19" t="s">
        <v>401</v>
      </c>
      <c r="G19" s="2">
        <v>4.4999999999999998E-2</v>
      </c>
      <c r="H19" s="2">
        <v>0.29199999999999998</v>
      </c>
      <c r="I19" s="2" t="s">
        <v>417</v>
      </c>
      <c r="J19" s="2" t="s">
        <v>403</v>
      </c>
      <c r="K19" s="2" t="s">
        <v>420</v>
      </c>
    </row>
    <row r="20" spans="3:11">
      <c r="C20">
        <v>8</v>
      </c>
      <c r="D20" s="3" t="s">
        <v>547</v>
      </c>
      <c r="E20" t="s">
        <v>400</v>
      </c>
      <c r="F20" t="s">
        <v>401</v>
      </c>
      <c r="G20" s="2">
        <v>5.8000000000000003E-2</v>
      </c>
      <c r="H20" s="2">
        <v>0.25800000000000001</v>
      </c>
      <c r="I20" s="2" t="s">
        <v>417</v>
      </c>
      <c r="J20" s="2" t="s">
        <v>403</v>
      </c>
      <c r="K20" s="2" t="s">
        <v>420</v>
      </c>
    </row>
    <row r="21" spans="3:11">
      <c r="C21">
        <v>8</v>
      </c>
      <c r="D21" s="3" t="s">
        <v>547</v>
      </c>
      <c r="E21" t="s">
        <v>400</v>
      </c>
      <c r="F21" t="s">
        <v>401</v>
      </c>
      <c r="G21" s="2">
        <v>6.6000000000000003E-2</v>
      </c>
      <c r="H21" s="2">
        <v>0.40500000000000003</v>
      </c>
      <c r="I21" s="2">
        <v>0</v>
      </c>
      <c r="J21" s="2">
        <v>0</v>
      </c>
      <c r="K21" s="2" t="s">
        <v>420</v>
      </c>
    </row>
    <row r="22" spans="3:11">
      <c r="C22">
        <v>9</v>
      </c>
      <c r="D22" s="3" t="s">
        <v>548</v>
      </c>
      <c r="E22" t="s">
        <v>400</v>
      </c>
      <c r="F22" t="s">
        <v>401</v>
      </c>
      <c r="G22" s="2">
        <v>2.5999999999999999E-2</v>
      </c>
      <c r="H22" s="2">
        <v>0.219</v>
      </c>
      <c r="I22" s="2" t="s">
        <v>417</v>
      </c>
      <c r="J22" s="2" t="s">
        <v>403</v>
      </c>
      <c r="K22" s="2" t="s">
        <v>420</v>
      </c>
    </row>
    <row r="23" spans="3:11">
      <c r="C23">
        <v>9</v>
      </c>
      <c r="D23" s="3" t="s">
        <v>548</v>
      </c>
      <c r="E23" t="s">
        <v>400</v>
      </c>
      <c r="F23" t="s">
        <v>401</v>
      </c>
      <c r="G23" s="2">
        <v>6.6000000000000003E-2</v>
      </c>
      <c r="H23" s="2">
        <v>0.436</v>
      </c>
      <c r="I23" s="2">
        <v>0</v>
      </c>
      <c r="J23" s="2">
        <v>0</v>
      </c>
      <c r="K23" s="2" t="s">
        <v>420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7EFD0-4E66-4A9F-AEBC-223F260A99ED}">
  <sheetPr codeName="Feuil8"/>
  <dimension ref="B2:K23"/>
  <sheetViews>
    <sheetView workbookViewId="0"/>
  </sheetViews>
  <sheetFormatPr defaultColWidth="8.7109375" defaultRowHeight="14.45"/>
  <sheetData>
    <row r="2" spans="2:11">
      <c r="B2" s="4" t="s">
        <v>537</v>
      </c>
    </row>
    <row r="3" spans="2:11">
      <c r="B3" s="5" t="s">
        <v>538</v>
      </c>
    </row>
    <row r="4" spans="2:11">
      <c r="B4" s="5"/>
    </row>
    <row r="6" spans="2:11">
      <c r="C6" t="s">
        <v>540</v>
      </c>
      <c r="D6" t="s">
        <v>391</v>
      </c>
      <c r="E6" t="s">
        <v>541</v>
      </c>
      <c r="F6" t="s">
        <v>393</v>
      </c>
      <c r="G6" t="s">
        <v>394</v>
      </c>
      <c r="H6" t="s">
        <v>395</v>
      </c>
      <c r="I6" t="s">
        <v>542</v>
      </c>
      <c r="J6" t="s">
        <v>543</v>
      </c>
      <c r="K6" t="s">
        <v>510</v>
      </c>
    </row>
    <row r="7" spans="2:11">
      <c r="C7" s="3" t="s">
        <v>544</v>
      </c>
      <c r="D7" t="s">
        <v>400</v>
      </c>
      <c r="E7" t="s">
        <v>401</v>
      </c>
      <c r="F7" s="2">
        <v>7.2999999999999995E-2</v>
      </c>
      <c r="G7" s="2">
        <v>0.42099999999999999</v>
      </c>
      <c r="H7" s="2" t="s">
        <v>402</v>
      </c>
      <c r="I7" s="2" t="s">
        <v>403</v>
      </c>
      <c r="J7" s="2">
        <v>8.9999999999999993E-3</v>
      </c>
      <c r="K7" s="2">
        <v>8.9999999999999993E-3</v>
      </c>
    </row>
    <row r="8" spans="2:11">
      <c r="C8" s="3" t="s">
        <v>545</v>
      </c>
      <c r="D8" t="s">
        <v>400</v>
      </c>
      <c r="E8" t="s">
        <v>401</v>
      </c>
      <c r="F8" s="2">
        <v>5.8999999999999997E-2</v>
      </c>
      <c r="G8" s="2">
        <v>0.26800000000000002</v>
      </c>
      <c r="H8" s="2" t="s">
        <v>406</v>
      </c>
      <c r="I8" s="2" t="s">
        <v>403</v>
      </c>
      <c r="J8" s="2" t="s">
        <v>420</v>
      </c>
      <c r="K8" s="2">
        <v>2.4E-2</v>
      </c>
    </row>
    <row r="9" spans="2:11">
      <c r="C9" s="3" t="s">
        <v>545</v>
      </c>
      <c r="D9" t="s">
        <v>400</v>
      </c>
      <c r="E9" t="s">
        <v>401</v>
      </c>
      <c r="F9" s="2">
        <v>6.4000000000000001E-2</v>
      </c>
      <c r="G9" s="2">
        <v>0.29399999999999998</v>
      </c>
      <c r="H9" s="2" t="s">
        <v>406</v>
      </c>
      <c r="I9" s="2" t="s">
        <v>403</v>
      </c>
      <c r="J9" s="2" t="s">
        <v>420</v>
      </c>
      <c r="K9" s="2">
        <v>3.2000000000000001E-2</v>
      </c>
    </row>
    <row r="10" spans="2:11">
      <c r="C10" s="3" t="s">
        <v>545</v>
      </c>
      <c r="D10" t="s">
        <v>400</v>
      </c>
      <c r="E10" t="s">
        <v>401</v>
      </c>
      <c r="F10" s="2">
        <v>5.7000000000000002E-2</v>
      </c>
      <c r="G10" s="2">
        <v>0.32</v>
      </c>
      <c r="H10" s="2" t="s">
        <v>412</v>
      </c>
      <c r="I10" s="2" t="s">
        <v>410</v>
      </c>
      <c r="J10" s="2">
        <v>0</v>
      </c>
      <c r="K10" s="2">
        <v>2.9000000000000001E-2</v>
      </c>
    </row>
    <row r="11" spans="2:11">
      <c r="C11" s="3" t="s">
        <v>545</v>
      </c>
      <c r="D11" t="s">
        <v>400</v>
      </c>
      <c r="E11" t="s">
        <v>401</v>
      </c>
      <c r="F11" s="2">
        <v>8.3000000000000004E-2</v>
      </c>
      <c r="G11" s="2">
        <v>0.438</v>
      </c>
      <c r="H11" s="2" t="s">
        <v>406</v>
      </c>
      <c r="I11" s="2" t="s">
        <v>403</v>
      </c>
      <c r="J11" s="2" t="s">
        <v>420</v>
      </c>
      <c r="K11" s="2">
        <v>0.02</v>
      </c>
    </row>
    <row r="12" spans="2:11">
      <c r="C12" s="3" t="s">
        <v>545</v>
      </c>
      <c r="D12" t="s">
        <v>400</v>
      </c>
      <c r="E12" t="s">
        <v>401</v>
      </c>
      <c r="F12" s="2">
        <v>6.4000000000000001E-2</v>
      </c>
      <c r="G12" s="2">
        <v>0.52900000000000003</v>
      </c>
      <c r="H12" s="2" t="s">
        <v>412</v>
      </c>
      <c r="I12" s="2" t="s">
        <v>410</v>
      </c>
      <c r="J12" s="2">
        <v>1.0999999999999999E-2</v>
      </c>
      <c r="K12" s="2">
        <v>1.0999999999999999E-2</v>
      </c>
    </row>
    <row r="13" spans="2:11">
      <c r="C13" s="3" t="s">
        <v>545</v>
      </c>
      <c r="D13" t="s">
        <v>400</v>
      </c>
      <c r="E13" t="s">
        <v>401</v>
      </c>
      <c r="F13" s="2">
        <v>6.7000000000000004E-2</v>
      </c>
      <c r="G13" s="2">
        <v>0.41299999999999998</v>
      </c>
      <c r="H13" s="2" t="s">
        <v>412</v>
      </c>
      <c r="I13" s="2" t="s">
        <v>410</v>
      </c>
      <c r="J13" s="2">
        <v>0</v>
      </c>
      <c r="K13" s="2">
        <v>1.2999999999999999E-2</v>
      </c>
    </row>
    <row r="14" spans="2:11">
      <c r="C14" s="3" t="s">
        <v>545</v>
      </c>
      <c r="D14" t="s">
        <v>400</v>
      </c>
      <c r="E14" t="s">
        <v>401</v>
      </c>
      <c r="F14" s="2">
        <v>6.7000000000000004E-2</v>
      </c>
      <c r="G14" s="2">
        <v>0.27900000000000003</v>
      </c>
      <c r="H14" s="2" t="s">
        <v>406</v>
      </c>
      <c r="I14" s="2" t="s">
        <v>403</v>
      </c>
      <c r="J14" s="2" t="s">
        <v>420</v>
      </c>
      <c r="K14" s="2">
        <v>2.4E-2</v>
      </c>
    </row>
    <row r="15" spans="2:11">
      <c r="C15" s="3" t="s">
        <v>545</v>
      </c>
      <c r="D15" t="s">
        <v>400</v>
      </c>
      <c r="E15" t="s">
        <v>401</v>
      </c>
      <c r="F15" s="2">
        <v>9.8000000000000004E-2</v>
      </c>
      <c r="G15" s="2">
        <v>0.44700000000000001</v>
      </c>
      <c r="H15" s="2" t="s">
        <v>412</v>
      </c>
      <c r="I15" s="2" t="s">
        <v>410</v>
      </c>
      <c r="J15" s="2">
        <v>0</v>
      </c>
      <c r="K15" s="2">
        <v>1.7000000000000001E-2</v>
      </c>
    </row>
    <row r="16" spans="2:11">
      <c r="C16" s="3" t="s">
        <v>545</v>
      </c>
      <c r="D16" t="s">
        <v>400</v>
      </c>
      <c r="E16" t="s">
        <v>401</v>
      </c>
      <c r="F16" s="2">
        <v>0.14299999999999999</v>
      </c>
      <c r="G16" s="2">
        <v>0.14299999999999999</v>
      </c>
      <c r="H16" s="2" t="s">
        <v>414</v>
      </c>
      <c r="I16" s="2" t="s">
        <v>546</v>
      </c>
      <c r="J16" s="2">
        <v>0</v>
      </c>
      <c r="K16" s="2">
        <v>0</v>
      </c>
    </row>
    <row r="17" spans="3:11">
      <c r="C17" s="3" t="s">
        <v>545</v>
      </c>
      <c r="D17" t="s">
        <v>400</v>
      </c>
      <c r="E17" t="s">
        <v>401</v>
      </c>
      <c r="F17" s="2">
        <v>3.3000000000000002E-2</v>
      </c>
      <c r="G17" s="2">
        <v>0.39600000000000002</v>
      </c>
      <c r="H17" s="2">
        <v>0</v>
      </c>
      <c r="I17" s="2">
        <v>0</v>
      </c>
      <c r="J17" s="2" t="s">
        <v>420</v>
      </c>
      <c r="K17" s="2">
        <v>2.1999999999999999E-2</v>
      </c>
    </row>
    <row r="18" spans="3:11">
      <c r="C18" s="3" t="s">
        <v>545</v>
      </c>
      <c r="D18" t="s">
        <v>409</v>
      </c>
      <c r="E18" t="s">
        <v>401</v>
      </c>
      <c r="F18" s="2" t="s">
        <v>420</v>
      </c>
      <c r="G18" s="2">
        <v>0.20899999999999999</v>
      </c>
      <c r="H18" s="2" t="s">
        <v>417</v>
      </c>
      <c r="I18" s="2" t="s">
        <v>403</v>
      </c>
      <c r="J18" s="2">
        <v>1.7000000000000001E-2</v>
      </c>
      <c r="K18" s="2">
        <v>1.7000000000000001E-2</v>
      </c>
    </row>
    <row r="19" spans="3:11">
      <c r="C19" s="3" t="s">
        <v>547</v>
      </c>
      <c r="D19" t="s">
        <v>400</v>
      </c>
      <c r="E19" t="s">
        <v>401</v>
      </c>
      <c r="F19" s="2">
        <v>4.4999999999999998E-2</v>
      </c>
      <c r="G19" s="2">
        <v>0.29199999999999998</v>
      </c>
      <c r="H19" s="2" t="s">
        <v>417</v>
      </c>
      <c r="I19" s="2" t="s">
        <v>403</v>
      </c>
      <c r="J19" s="2" t="s">
        <v>420</v>
      </c>
      <c r="K19" s="2">
        <v>1.0999999999999999E-2</v>
      </c>
    </row>
    <row r="20" spans="3:11">
      <c r="C20" s="3" t="s">
        <v>547</v>
      </c>
      <c r="D20" t="s">
        <v>400</v>
      </c>
      <c r="E20" t="s">
        <v>401</v>
      </c>
      <c r="F20" s="2">
        <v>5.8000000000000003E-2</v>
      </c>
      <c r="G20" s="2">
        <v>0.25800000000000001</v>
      </c>
      <c r="H20" s="2" t="s">
        <v>417</v>
      </c>
      <c r="I20" s="2" t="s">
        <v>403</v>
      </c>
      <c r="J20" s="2" t="s">
        <v>420</v>
      </c>
      <c r="K20" s="2">
        <v>1.4999999999999999E-2</v>
      </c>
    </row>
    <row r="21" spans="3:11">
      <c r="C21" s="3" t="s">
        <v>547</v>
      </c>
      <c r="D21" t="s">
        <v>400</v>
      </c>
      <c r="E21" t="s">
        <v>401</v>
      </c>
      <c r="F21" s="2">
        <v>6.6000000000000003E-2</v>
      </c>
      <c r="G21" s="2">
        <v>0.40500000000000003</v>
      </c>
      <c r="H21" s="2">
        <v>0</v>
      </c>
      <c r="I21" s="2">
        <v>0</v>
      </c>
      <c r="J21" s="2" t="s">
        <v>420</v>
      </c>
      <c r="K21" s="2" t="s">
        <v>420</v>
      </c>
    </row>
    <row r="22" spans="3:11">
      <c r="C22" s="3" t="s">
        <v>548</v>
      </c>
      <c r="D22" t="s">
        <v>400</v>
      </c>
      <c r="E22" t="s">
        <v>401</v>
      </c>
      <c r="F22" s="2">
        <v>2.5999999999999999E-2</v>
      </c>
      <c r="G22" s="2">
        <v>0.219</v>
      </c>
      <c r="H22" s="2" t="s">
        <v>417</v>
      </c>
      <c r="I22" s="2" t="s">
        <v>403</v>
      </c>
      <c r="J22" s="2" t="s">
        <v>420</v>
      </c>
      <c r="K22" s="2">
        <v>5.6000000000000001E-2</v>
      </c>
    </row>
    <row r="23" spans="3:11">
      <c r="C23" s="3" t="s">
        <v>548</v>
      </c>
      <c r="D23" t="s">
        <v>400</v>
      </c>
      <c r="E23" t="s">
        <v>401</v>
      </c>
      <c r="F23" s="2">
        <v>6.6000000000000003E-2</v>
      </c>
      <c r="G23" s="2">
        <v>0.436</v>
      </c>
      <c r="H23" s="2">
        <v>0</v>
      </c>
      <c r="I23" s="2">
        <v>0</v>
      </c>
      <c r="J23" s="2" t="s">
        <v>420</v>
      </c>
      <c r="K23" s="2" t="s">
        <v>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6FC55-4D4B-4C7D-8D44-FA9F2463B143}">
  <sheetPr codeName="Feuil9"/>
  <dimension ref="B2:W43"/>
  <sheetViews>
    <sheetView workbookViewId="0"/>
  </sheetViews>
  <sheetFormatPr defaultColWidth="8.7109375" defaultRowHeight="14.45"/>
  <cols>
    <col min="3" max="3" width="10.85546875" bestFit="1" customWidth="1"/>
    <col min="20" max="20" width="11.42578125" bestFit="1" customWidth="1"/>
    <col min="21" max="21" width="9.85546875" bestFit="1" customWidth="1"/>
    <col min="22" max="22" width="19.5703125" bestFit="1" customWidth="1"/>
    <col min="23" max="23" width="21.28515625" bestFit="1" customWidth="1"/>
  </cols>
  <sheetData>
    <row r="2" spans="2:23">
      <c r="B2" s="4" t="s">
        <v>537</v>
      </c>
    </row>
    <row r="3" spans="2:23">
      <c r="B3" s="5" t="s">
        <v>538</v>
      </c>
    </row>
    <row r="4" spans="2:23">
      <c r="B4" s="5"/>
    </row>
    <row r="6" spans="2:23">
      <c r="C6" t="s">
        <v>0</v>
      </c>
      <c r="D6" t="s">
        <v>549</v>
      </c>
      <c r="E6" t="s">
        <v>539</v>
      </c>
      <c r="F6" t="s">
        <v>540</v>
      </c>
      <c r="G6" t="s">
        <v>391</v>
      </c>
      <c r="H6" t="s">
        <v>541</v>
      </c>
      <c r="I6" t="s">
        <v>393</v>
      </c>
      <c r="J6" t="s">
        <v>394</v>
      </c>
      <c r="K6" t="s">
        <v>395</v>
      </c>
      <c r="L6" t="s">
        <v>542</v>
      </c>
      <c r="M6" t="s">
        <v>543</v>
      </c>
      <c r="N6" t="s">
        <v>510</v>
      </c>
      <c r="O6" t="s">
        <v>550</v>
      </c>
      <c r="P6" t="s">
        <v>551</v>
      </c>
      <c r="T6" s="6" t="s">
        <v>3</v>
      </c>
      <c r="U6" s="6" t="s">
        <v>4</v>
      </c>
      <c r="V6" t="s">
        <v>552</v>
      </c>
      <c r="W6" t="s">
        <v>553</v>
      </c>
    </row>
    <row r="7" spans="2:23">
      <c r="C7" s="3">
        <v>45813</v>
      </c>
      <c r="D7" t="s">
        <v>399</v>
      </c>
      <c r="E7">
        <v>6</v>
      </c>
      <c r="F7" s="3" t="s">
        <v>544</v>
      </c>
      <c r="G7" t="s">
        <v>400</v>
      </c>
      <c r="H7" t="s">
        <v>401</v>
      </c>
      <c r="I7" s="2">
        <v>7.2999999999999995E-2</v>
      </c>
      <c r="J7" s="2">
        <v>0.42099999999999999</v>
      </c>
      <c r="K7" s="2" t="s">
        <v>402</v>
      </c>
      <c r="L7" s="2" t="s">
        <v>403</v>
      </c>
      <c r="M7" s="2">
        <v>8.9999999999999993E-3</v>
      </c>
      <c r="N7" s="2">
        <v>8.9999999999999993E-3</v>
      </c>
      <c r="O7" s="7">
        <v>2837</v>
      </c>
      <c r="P7">
        <v>1139</v>
      </c>
      <c r="T7" t="s">
        <v>141</v>
      </c>
      <c r="U7" t="s">
        <v>114</v>
      </c>
      <c r="V7">
        <v>2837</v>
      </c>
      <c r="W7">
        <v>1139</v>
      </c>
    </row>
    <row r="8" spans="2:23">
      <c r="C8" s="3">
        <v>45841</v>
      </c>
      <c r="D8" t="s">
        <v>405</v>
      </c>
      <c r="E8">
        <v>7</v>
      </c>
      <c r="F8" s="3" t="s">
        <v>545</v>
      </c>
      <c r="G8" t="s">
        <v>400</v>
      </c>
      <c r="H8" t="s">
        <v>401</v>
      </c>
      <c r="I8" s="2">
        <v>5.8999999999999997E-2</v>
      </c>
      <c r="J8" s="2">
        <v>0.26800000000000002</v>
      </c>
      <c r="K8" s="2" t="s">
        <v>406</v>
      </c>
      <c r="L8" s="2" t="s">
        <v>403</v>
      </c>
      <c r="M8" s="2" t="s">
        <v>420</v>
      </c>
      <c r="N8" s="2">
        <v>2.4E-2</v>
      </c>
      <c r="O8">
        <v>2068</v>
      </c>
      <c r="P8">
        <v>771</v>
      </c>
      <c r="T8" t="s">
        <v>554</v>
      </c>
      <c r="V8">
        <v>2837</v>
      </c>
      <c r="W8">
        <v>1139</v>
      </c>
    </row>
    <row r="9" spans="2:23">
      <c r="C9" s="3">
        <v>45841</v>
      </c>
      <c r="D9" t="s">
        <v>408</v>
      </c>
      <c r="E9">
        <v>7</v>
      </c>
      <c r="F9" s="3" t="s">
        <v>545</v>
      </c>
      <c r="G9" t="s">
        <v>400</v>
      </c>
      <c r="H9" t="s">
        <v>401</v>
      </c>
      <c r="I9" s="2">
        <v>6.4000000000000001E-2</v>
      </c>
      <c r="J9" s="2">
        <v>0.29399999999999998</v>
      </c>
      <c r="K9" s="2" t="s">
        <v>406</v>
      </c>
      <c r="L9" s="2" t="s">
        <v>403</v>
      </c>
      <c r="M9" s="2" t="s">
        <v>420</v>
      </c>
      <c r="N9" s="2">
        <v>3.2000000000000001E-2</v>
      </c>
      <c r="O9">
        <v>934</v>
      </c>
      <c r="P9">
        <v>412</v>
      </c>
      <c r="T9" t="s">
        <v>145</v>
      </c>
      <c r="U9" t="s">
        <v>11</v>
      </c>
      <c r="V9">
        <v>3177</v>
      </c>
      <c r="W9">
        <v>1274</v>
      </c>
    </row>
    <row r="10" spans="2:23">
      <c r="C10" s="3">
        <v>45841</v>
      </c>
      <c r="D10" t="s">
        <v>411</v>
      </c>
      <c r="E10">
        <v>7</v>
      </c>
      <c r="F10" s="3" t="s">
        <v>545</v>
      </c>
      <c r="G10" t="s">
        <v>400</v>
      </c>
      <c r="H10" t="s">
        <v>401</v>
      </c>
      <c r="I10" s="2">
        <v>5.7000000000000002E-2</v>
      </c>
      <c r="J10" s="2">
        <v>0.32</v>
      </c>
      <c r="K10" s="2" t="s">
        <v>412</v>
      </c>
      <c r="L10" s="2" t="s">
        <v>410</v>
      </c>
      <c r="M10" s="2">
        <v>0</v>
      </c>
      <c r="N10" s="2">
        <v>2.9000000000000001E-2</v>
      </c>
      <c r="O10">
        <v>175</v>
      </c>
      <c r="P10">
        <v>91</v>
      </c>
      <c r="U10" t="s">
        <v>34</v>
      </c>
      <c r="V10">
        <v>3127</v>
      </c>
      <c r="W10">
        <v>1594</v>
      </c>
    </row>
    <row r="11" spans="2:23">
      <c r="C11" s="3">
        <v>45846</v>
      </c>
      <c r="D11" t="s">
        <v>405</v>
      </c>
      <c r="E11">
        <v>7</v>
      </c>
      <c r="F11" s="3" t="s">
        <v>545</v>
      </c>
      <c r="G11" t="s">
        <v>400</v>
      </c>
      <c r="H11" t="s">
        <v>401</v>
      </c>
      <c r="I11" s="2">
        <v>8.3000000000000004E-2</v>
      </c>
      <c r="J11" s="2">
        <v>0.438</v>
      </c>
      <c r="K11" s="2" t="s">
        <v>406</v>
      </c>
      <c r="L11" s="2" t="s">
        <v>403</v>
      </c>
      <c r="M11" s="2" t="s">
        <v>420</v>
      </c>
      <c r="N11" s="2">
        <v>0.02</v>
      </c>
      <c r="O11">
        <v>404</v>
      </c>
      <c r="P11">
        <v>294</v>
      </c>
      <c r="T11" t="s">
        <v>555</v>
      </c>
      <c r="V11">
        <v>6304</v>
      </c>
      <c r="W11">
        <v>2868</v>
      </c>
    </row>
    <row r="12" spans="2:23">
      <c r="C12" s="3">
        <v>45846</v>
      </c>
      <c r="D12" t="s">
        <v>408</v>
      </c>
      <c r="E12">
        <v>7</v>
      </c>
      <c r="F12" s="3" t="s">
        <v>545</v>
      </c>
      <c r="G12" t="s">
        <v>400</v>
      </c>
      <c r="H12" t="s">
        <v>401</v>
      </c>
      <c r="I12" s="2">
        <v>6.4000000000000001E-2</v>
      </c>
      <c r="J12" s="2">
        <v>0.52900000000000003</v>
      </c>
      <c r="K12" s="2" t="s">
        <v>412</v>
      </c>
      <c r="L12" s="2" t="s">
        <v>410</v>
      </c>
      <c r="M12" s="2">
        <v>1.0999999999999999E-2</v>
      </c>
      <c r="N12" s="2">
        <v>1.0999999999999999E-2</v>
      </c>
      <c r="O12">
        <v>492</v>
      </c>
      <c r="P12">
        <v>266</v>
      </c>
      <c r="T12" t="s">
        <v>169</v>
      </c>
      <c r="U12" t="s">
        <v>11</v>
      </c>
      <c r="V12">
        <v>2883</v>
      </c>
      <c r="W12">
        <v>1152</v>
      </c>
    </row>
    <row r="13" spans="2:23">
      <c r="C13" s="3">
        <v>45846</v>
      </c>
      <c r="D13" t="s">
        <v>411</v>
      </c>
      <c r="E13">
        <v>7</v>
      </c>
      <c r="F13" s="3" t="s">
        <v>545</v>
      </c>
      <c r="G13" t="s">
        <v>400</v>
      </c>
      <c r="H13" t="s">
        <v>401</v>
      </c>
      <c r="I13" s="2">
        <v>6.7000000000000004E-2</v>
      </c>
      <c r="J13" s="2">
        <v>0.41299999999999998</v>
      </c>
      <c r="K13" s="2" t="s">
        <v>412</v>
      </c>
      <c r="L13" s="2" t="s">
        <v>410</v>
      </c>
      <c r="M13" s="2">
        <v>0</v>
      </c>
      <c r="N13" s="2">
        <v>1.2999999999999999E-2</v>
      </c>
      <c r="O13">
        <v>76</v>
      </c>
      <c r="P13">
        <v>266</v>
      </c>
      <c r="T13" t="s">
        <v>556</v>
      </c>
      <c r="V13">
        <v>2883</v>
      </c>
      <c r="W13">
        <v>1152</v>
      </c>
    </row>
    <row r="14" spans="2:23">
      <c r="C14" s="3">
        <v>45850</v>
      </c>
      <c r="D14" t="s">
        <v>405</v>
      </c>
      <c r="E14">
        <v>7</v>
      </c>
      <c r="F14" s="3" t="s">
        <v>545</v>
      </c>
      <c r="G14" t="s">
        <v>400</v>
      </c>
      <c r="H14" t="s">
        <v>401</v>
      </c>
      <c r="I14" s="2">
        <v>6.7000000000000004E-2</v>
      </c>
      <c r="J14" s="2">
        <v>0.27900000000000003</v>
      </c>
      <c r="K14" s="2" t="s">
        <v>406</v>
      </c>
      <c r="L14" s="2" t="s">
        <v>403</v>
      </c>
      <c r="M14" s="2" t="s">
        <v>420</v>
      </c>
      <c r="N14" s="2">
        <v>2.4E-2</v>
      </c>
      <c r="O14">
        <v>1881</v>
      </c>
      <c r="P14">
        <v>613</v>
      </c>
      <c r="T14" t="s">
        <v>172</v>
      </c>
      <c r="U14" t="s">
        <v>11</v>
      </c>
      <c r="V14">
        <v>2036</v>
      </c>
      <c r="W14">
        <v>631</v>
      </c>
    </row>
    <row r="15" spans="2:23">
      <c r="C15" s="3">
        <v>45850</v>
      </c>
      <c r="D15" t="s">
        <v>408</v>
      </c>
      <c r="E15">
        <v>7</v>
      </c>
      <c r="F15" s="3" t="s">
        <v>545</v>
      </c>
      <c r="G15" t="s">
        <v>400</v>
      </c>
      <c r="H15" t="s">
        <v>401</v>
      </c>
      <c r="I15" s="2">
        <v>9.8000000000000004E-2</v>
      </c>
      <c r="J15" s="2">
        <v>0.44700000000000001</v>
      </c>
      <c r="K15" s="2" t="s">
        <v>412</v>
      </c>
      <c r="L15" s="2" t="s">
        <v>410</v>
      </c>
      <c r="M15" s="2">
        <v>0</v>
      </c>
      <c r="N15" s="2">
        <v>1.7000000000000001E-2</v>
      </c>
      <c r="O15">
        <v>267</v>
      </c>
      <c r="P15">
        <v>152</v>
      </c>
      <c r="T15" t="s">
        <v>557</v>
      </c>
      <c r="V15">
        <v>2036</v>
      </c>
      <c r="W15">
        <v>631</v>
      </c>
    </row>
    <row r="16" spans="2:23">
      <c r="C16" s="3">
        <v>45850</v>
      </c>
      <c r="D16" t="s">
        <v>411</v>
      </c>
      <c r="E16">
        <v>7</v>
      </c>
      <c r="F16" s="3" t="s">
        <v>545</v>
      </c>
      <c r="G16" t="s">
        <v>400</v>
      </c>
      <c r="H16" t="s">
        <v>401</v>
      </c>
      <c r="I16" s="2">
        <v>0.14299999999999999</v>
      </c>
      <c r="J16" s="2">
        <v>0.14299999999999999</v>
      </c>
      <c r="K16" s="2" t="s">
        <v>414</v>
      </c>
      <c r="L16" s="2" t="s">
        <v>546</v>
      </c>
      <c r="M16" s="2">
        <v>0</v>
      </c>
      <c r="N16" s="2">
        <v>0</v>
      </c>
      <c r="O16">
        <v>7</v>
      </c>
      <c r="P16">
        <v>3</v>
      </c>
      <c r="T16" t="s">
        <v>176</v>
      </c>
      <c r="U16" t="s">
        <v>11</v>
      </c>
      <c r="V16">
        <v>2399</v>
      </c>
      <c r="W16">
        <v>811</v>
      </c>
    </row>
    <row r="17" spans="3:23">
      <c r="C17" s="3">
        <v>45856</v>
      </c>
      <c r="D17" t="s">
        <v>558</v>
      </c>
      <c r="E17">
        <v>7</v>
      </c>
      <c r="F17" s="3" t="s">
        <v>545</v>
      </c>
      <c r="G17" t="s">
        <v>400</v>
      </c>
      <c r="H17" t="s">
        <v>401</v>
      </c>
      <c r="I17" s="2">
        <v>3.3000000000000002E-2</v>
      </c>
      <c r="J17" s="2">
        <v>0.39600000000000002</v>
      </c>
      <c r="K17" s="2" t="s">
        <v>420</v>
      </c>
      <c r="L17" s="2" t="s">
        <v>420</v>
      </c>
      <c r="M17" s="2" t="s">
        <v>420</v>
      </c>
      <c r="N17" s="2">
        <v>2.1999999999999999E-2</v>
      </c>
      <c r="O17" s="7">
        <v>2883</v>
      </c>
      <c r="P17" s="7">
        <v>1152</v>
      </c>
      <c r="U17" t="s">
        <v>34</v>
      </c>
      <c r="V17">
        <v>2373</v>
      </c>
      <c r="W17">
        <v>711</v>
      </c>
    </row>
    <row r="18" spans="3:23">
      <c r="C18" s="3">
        <v>45867</v>
      </c>
      <c r="D18" t="s">
        <v>415</v>
      </c>
      <c r="E18">
        <v>7</v>
      </c>
      <c r="F18" s="3" t="s">
        <v>545</v>
      </c>
      <c r="G18" t="s">
        <v>409</v>
      </c>
      <c r="H18" t="s">
        <v>401</v>
      </c>
      <c r="I18" s="2" t="s">
        <v>420</v>
      </c>
      <c r="J18" s="2">
        <v>0.20899999999999999</v>
      </c>
      <c r="K18" s="2" t="s">
        <v>417</v>
      </c>
      <c r="L18" s="2" t="s">
        <v>403</v>
      </c>
      <c r="M18" s="2">
        <v>1.7000000000000001E-2</v>
      </c>
      <c r="N18" s="2">
        <v>1.7000000000000001E-2</v>
      </c>
      <c r="O18" s="7">
        <v>2036</v>
      </c>
      <c r="P18" s="7">
        <v>631</v>
      </c>
      <c r="T18" t="s">
        <v>559</v>
      </c>
      <c r="V18">
        <v>4772</v>
      </c>
      <c r="W18">
        <v>1522</v>
      </c>
    </row>
    <row r="19" spans="3:23">
      <c r="C19" s="3">
        <v>45875</v>
      </c>
      <c r="D19" t="s">
        <v>418</v>
      </c>
      <c r="E19">
        <v>8</v>
      </c>
      <c r="F19" s="3" t="s">
        <v>547</v>
      </c>
      <c r="G19" t="s">
        <v>400</v>
      </c>
      <c r="H19" t="s">
        <v>401</v>
      </c>
      <c r="I19" s="2">
        <v>4.4999999999999998E-2</v>
      </c>
      <c r="J19" s="2">
        <v>0.29199999999999998</v>
      </c>
      <c r="K19" s="2" t="s">
        <v>417</v>
      </c>
      <c r="L19" s="2" t="s">
        <v>403</v>
      </c>
      <c r="M19" s="2" t="s">
        <v>420</v>
      </c>
      <c r="N19" s="2">
        <v>1.0999999999999999E-2</v>
      </c>
      <c r="O19" s="7">
        <v>2399</v>
      </c>
      <c r="P19" s="7">
        <v>811</v>
      </c>
      <c r="T19" t="s">
        <v>182</v>
      </c>
      <c r="U19" t="s">
        <v>11</v>
      </c>
      <c r="V19">
        <v>274</v>
      </c>
      <c r="W19">
        <v>103</v>
      </c>
    </row>
    <row r="20" spans="3:23">
      <c r="C20" s="3">
        <v>45883</v>
      </c>
      <c r="D20" t="s">
        <v>418</v>
      </c>
      <c r="E20">
        <v>8</v>
      </c>
      <c r="F20" s="3" t="s">
        <v>547</v>
      </c>
      <c r="G20" t="s">
        <v>400</v>
      </c>
      <c r="H20" t="s">
        <v>401</v>
      </c>
      <c r="I20" s="2">
        <v>5.8000000000000003E-2</v>
      </c>
      <c r="J20" s="2">
        <v>0.25800000000000001</v>
      </c>
      <c r="K20" s="2" t="s">
        <v>417</v>
      </c>
      <c r="L20" s="2" t="s">
        <v>403</v>
      </c>
      <c r="M20" s="2" t="s">
        <v>420</v>
      </c>
      <c r="N20" s="2">
        <v>1.4999999999999999E-2</v>
      </c>
      <c r="O20">
        <v>2373</v>
      </c>
      <c r="P20">
        <v>711</v>
      </c>
      <c r="T20" t="s">
        <v>560</v>
      </c>
      <c r="V20">
        <v>274</v>
      </c>
      <c r="W20">
        <v>103</v>
      </c>
    </row>
    <row r="21" spans="3:23">
      <c r="C21" s="3">
        <v>45894</v>
      </c>
      <c r="D21" t="s">
        <v>419</v>
      </c>
      <c r="E21">
        <v>8</v>
      </c>
      <c r="F21" s="3" t="s">
        <v>547</v>
      </c>
      <c r="G21" t="s">
        <v>400</v>
      </c>
      <c r="H21" t="s">
        <v>401</v>
      </c>
      <c r="I21" s="2">
        <v>6.6000000000000003E-2</v>
      </c>
      <c r="J21" s="2">
        <v>0.40500000000000003</v>
      </c>
      <c r="K21" s="2" t="s">
        <v>420</v>
      </c>
      <c r="L21" s="2" t="s">
        <v>420</v>
      </c>
      <c r="M21" s="2" t="s">
        <v>420</v>
      </c>
      <c r="N21" s="2" t="s">
        <v>420</v>
      </c>
      <c r="O21">
        <v>274</v>
      </c>
      <c r="P21">
        <v>103</v>
      </c>
      <c r="T21" t="s">
        <v>186</v>
      </c>
      <c r="U21" t="s">
        <v>11</v>
      </c>
      <c r="V21">
        <v>2702</v>
      </c>
      <c r="W21">
        <v>855</v>
      </c>
    </row>
    <row r="22" spans="3:23">
      <c r="C22" s="3">
        <v>45905</v>
      </c>
      <c r="D22" t="s">
        <v>421</v>
      </c>
      <c r="E22">
        <v>9</v>
      </c>
      <c r="F22" s="3" t="s">
        <v>548</v>
      </c>
      <c r="G22" t="s">
        <v>400</v>
      </c>
      <c r="H22" t="s">
        <v>401</v>
      </c>
      <c r="I22" s="2">
        <v>2.5999999999999999E-2</v>
      </c>
      <c r="J22" s="2">
        <v>0.219</v>
      </c>
      <c r="K22" s="2" t="s">
        <v>417</v>
      </c>
      <c r="L22" s="2" t="s">
        <v>403</v>
      </c>
      <c r="M22" s="2" t="s">
        <v>420</v>
      </c>
      <c r="N22" s="2">
        <v>5.6000000000000001E-2</v>
      </c>
      <c r="O22">
        <v>2292</v>
      </c>
      <c r="P22">
        <v>639</v>
      </c>
      <c r="T22" t="s">
        <v>561</v>
      </c>
      <c r="V22">
        <v>2702</v>
      </c>
      <c r="W22">
        <v>855</v>
      </c>
    </row>
    <row r="23" spans="3:23">
      <c r="C23" s="3">
        <v>45905</v>
      </c>
      <c r="D23" t="s">
        <v>421</v>
      </c>
      <c r="E23">
        <v>9</v>
      </c>
      <c r="F23" s="3" t="s">
        <v>548</v>
      </c>
      <c r="G23" t="s">
        <v>400</v>
      </c>
      <c r="H23" t="s">
        <v>401</v>
      </c>
      <c r="I23" s="2">
        <v>6.6000000000000003E-2</v>
      </c>
      <c r="J23" s="2">
        <v>0.436</v>
      </c>
      <c r="K23" s="2" t="s">
        <v>420</v>
      </c>
      <c r="L23" s="2" t="s">
        <v>420</v>
      </c>
      <c r="M23" s="2" t="s">
        <v>420</v>
      </c>
      <c r="N23" s="2" t="s">
        <v>420</v>
      </c>
      <c r="O23">
        <v>410</v>
      </c>
      <c r="P23">
        <v>216</v>
      </c>
      <c r="T23" t="s">
        <v>536</v>
      </c>
      <c r="V23">
        <v>21808</v>
      </c>
      <c r="W23">
        <v>8270</v>
      </c>
    </row>
    <row r="34" spans="20:23">
      <c r="T34" s="6" t="s">
        <v>539</v>
      </c>
      <c r="U34" s="6" t="s">
        <v>540</v>
      </c>
      <c r="V34" t="s">
        <v>562</v>
      </c>
      <c r="W34" t="s">
        <v>563</v>
      </c>
    </row>
    <row r="35" spans="20:23">
      <c r="T35">
        <v>6</v>
      </c>
      <c r="U35" t="s">
        <v>544</v>
      </c>
      <c r="V35">
        <v>2837</v>
      </c>
      <c r="W35">
        <v>1139</v>
      </c>
    </row>
    <row r="36" spans="20:23">
      <c r="T36" t="s">
        <v>564</v>
      </c>
      <c r="V36">
        <v>2837</v>
      </c>
      <c r="W36">
        <v>1139</v>
      </c>
    </row>
    <row r="37" spans="20:23">
      <c r="T37">
        <v>7</v>
      </c>
      <c r="U37" t="s">
        <v>545</v>
      </c>
      <c r="V37">
        <v>11223</v>
      </c>
      <c r="W37">
        <v>4651</v>
      </c>
    </row>
    <row r="38" spans="20:23">
      <c r="T38" t="s">
        <v>565</v>
      </c>
      <c r="V38">
        <v>11223</v>
      </c>
      <c r="W38">
        <v>4651</v>
      </c>
    </row>
    <row r="39" spans="20:23">
      <c r="T39">
        <v>8</v>
      </c>
      <c r="U39" t="s">
        <v>547</v>
      </c>
      <c r="V39">
        <v>5046</v>
      </c>
      <c r="W39">
        <v>1625</v>
      </c>
    </row>
    <row r="40" spans="20:23">
      <c r="T40" t="s">
        <v>566</v>
      </c>
      <c r="V40">
        <v>5046</v>
      </c>
      <c r="W40">
        <v>1625</v>
      </c>
    </row>
    <row r="41" spans="20:23">
      <c r="T41">
        <v>9</v>
      </c>
      <c r="U41" t="s">
        <v>548</v>
      </c>
      <c r="V41">
        <v>2702</v>
      </c>
      <c r="W41">
        <v>855</v>
      </c>
    </row>
    <row r="42" spans="20:23">
      <c r="T42" t="s">
        <v>567</v>
      </c>
      <c r="V42">
        <v>2702</v>
      </c>
      <c r="W42">
        <v>855</v>
      </c>
    </row>
    <row r="43" spans="20:23">
      <c r="T43" t="s">
        <v>536</v>
      </c>
      <c r="V43">
        <v>21808</v>
      </c>
      <c r="W43">
        <v>8270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3D5F6-02A9-42E1-9AFC-916084B43B83}">
  <sheetPr codeName="Feuil10"/>
  <dimension ref="A1:Q30"/>
  <sheetViews>
    <sheetView workbookViewId="0">
      <selection activeCell="F32" sqref="F32"/>
    </sheetView>
  </sheetViews>
  <sheetFormatPr defaultColWidth="11.42578125" defaultRowHeight="14.45"/>
  <cols>
    <col min="1" max="2" width="22.85546875" bestFit="1" customWidth="1"/>
    <col min="3" max="3" width="24.42578125" bestFit="1" customWidth="1"/>
    <col min="4" max="4" width="19.7109375" bestFit="1" customWidth="1"/>
    <col min="15" max="15" width="20.5703125" bestFit="1" customWidth="1"/>
    <col min="16" max="16" width="22.85546875" bestFit="1" customWidth="1"/>
    <col min="17" max="17" width="24.42578125" bestFit="1" customWidth="1"/>
    <col min="18" max="19" width="5.140625" bestFit="1" customWidth="1"/>
    <col min="20" max="20" width="24.42578125" bestFit="1" customWidth="1"/>
    <col min="21" max="23" width="5.140625" bestFit="1" customWidth="1"/>
    <col min="24" max="24" width="27.5703125" bestFit="1" customWidth="1"/>
    <col min="25" max="25" width="29.140625" bestFit="1" customWidth="1"/>
  </cols>
  <sheetData>
    <row r="1" spans="1:17">
      <c r="A1" s="6" t="s">
        <v>539</v>
      </c>
      <c r="B1" t="s">
        <v>568</v>
      </c>
      <c r="O1" s="6" t="s">
        <v>539</v>
      </c>
      <c r="P1" t="s">
        <v>569</v>
      </c>
    </row>
    <row r="3" spans="1:17">
      <c r="A3" s="6" t="s">
        <v>531</v>
      </c>
      <c r="B3" t="s">
        <v>570</v>
      </c>
      <c r="C3" t="s">
        <v>571</v>
      </c>
      <c r="O3" s="6" t="s">
        <v>531</v>
      </c>
      <c r="P3" t="s">
        <v>570</v>
      </c>
      <c r="Q3" t="s">
        <v>571</v>
      </c>
    </row>
    <row r="4" spans="1:17">
      <c r="A4" s="1" t="s">
        <v>405</v>
      </c>
      <c r="B4" s="7">
        <v>4353</v>
      </c>
      <c r="C4" s="7">
        <v>1678</v>
      </c>
      <c r="O4" s="1" t="s">
        <v>544</v>
      </c>
      <c r="P4" s="7">
        <v>2837</v>
      </c>
      <c r="Q4" s="7">
        <v>1139</v>
      </c>
    </row>
    <row r="5" spans="1:17">
      <c r="A5" s="8" t="s">
        <v>11</v>
      </c>
      <c r="B5" s="7">
        <v>2068</v>
      </c>
      <c r="C5" s="7">
        <v>771</v>
      </c>
      <c r="O5" s="1" t="s">
        <v>545</v>
      </c>
      <c r="P5" s="7">
        <v>11223</v>
      </c>
      <c r="Q5" s="7">
        <v>4651</v>
      </c>
    </row>
    <row r="6" spans="1:17">
      <c r="A6" s="8" t="s">
        <v>34</v>
      </c>
      <c r="B6" s="7">
        <v>404</v>
      </c>
      <c r="C6" s="7">
        <v>294</v>
      </c>
      <c r="O6" s="1" t="s">
        <v>547</v>
      </c>
      <c r="P6" s="7">
        <v>5046</v>
      </c>
      <c r="Q6" s="7">
        <v>1625</v>
      </c>
    </row>
    <row r="7" spans="1:17">
      <c r="A7" s="8" t="s">
        <v>572</v>
      </c>
      <c r="B7" s="7">
        <v>1881</v>
      </c>
      <c r="C7" s="7">
        <v>613</v>
      </c>
      <c r="O7" s="1" t="s">
        <v>548</v>
      </c>
      <c r="P7" s="7">
        <v>9426</v>
      </c>
      <c r="Q7" s="7">
        <v>3015</v>
      </c>
    </row>
    <row r="8" spans="1:17">
      <c r="A8" s="1" t="s">
        <v>408</v>
      </c>
      <c r="B8" s="7">
        <v>1693</v>
      </c>
      <c r="C8" s="7">
        <v>830</v>
      </c>
      <c r="O8" s="1" t="s">
        <v>536</v>
      </c>
      <c r="P8" s="7">
        <v>28532</v>
      </c>
      <c r="Q8" s="7">
        <v>10430</v>
      </c>
    </row>
    <row r="9" spans="1:17">
      <c r="A9" s="8" t="s">
        <v>11</v>
      </c>
      <c r="B9" s="7">
        <v>934</v>
      </c>
      <c r="C9" s="7">
        <v>412</v>
      </c>
    </row>
    <row r="10" spans="1:17">
      <c r="A10" s="8" t="s">
        <v>34</v>
      </c>
      <c r="B10" s="7">
        <v>492</v>
      </c>
      <c r="C10" s="7">
        <v>266</v>
      </c>
    </row>
    <row r="11" spans="1:17">
      <c r="A11" s="8" t="s">
        <v>572</v>
      </c>
      <c r="B11" s="7">
        <v>267</v>
      </c>
      <c r="C11" s="7">
        <v>152</v>
      </c>
    </row>
    <row r="12" spans="1:17">
      <c r="A12" s="1" t="s">
        <v>411</v>
      </c>
      <c r="B12" s="7">
        <v>258</v>
      </c>
      <c r="C12" s="7">
        <v>360</v>
      </c>
    </row>
    <row r="13" spans="1:17">
      <c r="A13" s="8" t="s">
        <v>11</v>
      </c>
      <c r="B13" s="7">
        <v>175</v>
      </c>
      <c r="C13" s="7">
        <v>91</v>
      </c>
    </row>
    <row r="14" spans="1:17">
      <c r="A14" s="8" t="s">
        <v>34</v>
      </c>
      <c r="B14" s="7">
        <v>76</v>
      </c>
      <c r="C14" s="7">
        <v>266</v>
      </c>
    </row>
    <row r="15" spans="1:17">
      <c r="A15" s="8" t="s">
        <v>572</v>
      </c>
      <c r="B15" s="7">
        <v>7</v>
      </c>
      <c r="C15" s="7">
        <v>3</v>
      </c>
    </row>
    <row r="16" spans="1:17">
      <c r="A16" s="1" t="s">
        <v>558</v>
      </c>
      <c r="B16" s="7">
        <v>2883</v>
      </c>
      <c r="C16" s="7">
        <v>1152</v>
      </c>
    </row>
    <row r="17" spans="1:3">
      <c r="A17" s="8" t="s">
        <v>11</v>
      </c>
      <c r="B17" s="7">
        <v>2883</v>
      </c>
      <c r="C17" s="7">
        <v>1152</v>
      </c>
    </row>
    <row r="18" spans="1:3">
      <c r="A18" s="1" t="s">
        <v>415</v>
      </c>
      <c r="B18" s="7">
        <v>2036</v>
      </c>
      <c r="C18" s="7">
        <v>631</v>
      </c>
    </row>
    <row r="19" spans="1:3">
      <c r="A19" s="8" t="s">
        <v>11</v>
      </c>
      <c r="B19" s="7">
        <v>2036</v>
      </c>
      <c r="C19" s="7">
        <v>631</v>
      </c>
    </row>
    <row r="20" spans="1:3">
      <c r="A20" s="1" t="s">
        <v>418</v>
      </c>
      <c r="B20" s="7">
        <v>4772</v>
      </c>
      <c r="C20" s="7">
        <v>1522</v>
      </c>
    </row>
    <row r="21" spans="1:3">
      <c r="A21" s="8" t="s">
        <v>11</v>
      </c>
      <c r="B21" s="7">
        <v>2399</v>
      </c>
      <c r="C21" s="7">
        <v>811</v>
      </c>
    </row>
    <row r="22" spans="1:3">
      <c r="A22" s="8" t="s">
        <v>34</v>
      </c>
      <c r="B22" s="7">
        <v>2373</v>
      </c>
      <c r="C22" s="7">
        <v>711</v>
      </c>
    </row>
    <row r="23" spans="1:3">
      <c r="A23" s="1" t="s">
        <v>419</v>
      </c>
      <c r="B23" s="7">
        <v>274</v>
      </c>
      <c r="C23" s="7">
        <v>103</v>
      </c>
    </row>
    <row r="24" spans="1:3">
      <c r="A24" s="8" t="s">
        <v>573</v>
      </c>
      <c r="B24" s="7">
        <v>274</v>
      </c>
      <c r="C24" s="7">
        <v>103</v>
      </c>
    </row>
    <row r="25" spans="1:3">
      <c r="A25" s="1" t="s">
        <v>421</v>
      </c>
      <c r="B25" s="7">
        <v>2702</v>
      </c>
      <c r="C25" s="7">
        <v>855</v>
      </c>
    </row>
    <row r="26" spans="1:3">
      <c r="A26" s="8" t="s">
        <v>11</v>
      </c>
      <c r="B26" s="7">
        <v>2702</v>
      </c>
      <c r="C26" s="7">
        <v>855</v>
      </c>
    </row>
    <row r="27" spans="1:3">
      <c r="A27" s="1" t="s">
        <v>422</v>
      </c>
      <c r="B27" s="7">
        <v>6724</v>
      </c>
      <c r="C27" s="7">
        <v>2160</v>
      </c>
    </row>
    <row r="28" spans="1:3">
      <c r="A28" s="8" t="s">
        <v>11</v>
      </c>
      <c r="B28" s="7">
        <v>3360</v>
      </c>
      <c r="C28" s="7">
        <v>1102</v>
      </c>
    </row>
    <row r="29" spans="1:3">
      <c r="A29" s="8" t="s">
        <v>34</v>
      </c>
      <c r="B29" s="7">
        <v>3364</v>
      </c>
      <c r="C29" s="7">
        <v>1058</v>
      </c>
    </row>
    <row r="30" spans="1:3">
      <c r="A30" s="1" t="s">
        <v>536</v>
      </c>
      <c r="B30" s="7">
        <v>25695</v>
      </c>
      <c r="C30" s="7">
        <v>9291</v>
      </c>
    </row>
  </sheetData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E8E4B-4A8F-4E5A-A8F7-8321D23DF26F}">
  <sheetPr codeName="Feuil11"/>
  <dimension ref="B2:P25"/>
  <sheetViews>
    <sheetView workbookViewId="0">
      <selection activeCell="C8" sqref="C8"/>
    </sheetView>
  </sheetViews>
  <sheetFormatPr defaultColWidth="11.42578125" defaultRowHeight="14.45"/>
  <sheetData>
    <row r="2" spans="2:16">
      <c r="B2" s="4" t="s">
        <v>537</v>
      </c>
    </row>
    <row r="3" spans="2:16">
      <c r="B3" s="5" t="s">
        <v>538</v>
      </c>
    </row>
    <row r="4" spans="2:16">
      <c r="B4" s="5"/>
    </row>
    <row r="6" spans="2:16">
      <c r="C6" t="s">
        <v>0</v>
      </c>
      <c r="D6" t="s">
        <v>549</v>
      </c>
      <c r="E6" t="s">
        <v>539</v>
      </c>
      <c r="F6" t="s">
        <v>540</v>
      </c>
      <c r="G6" t="s">
        <v>391</v>
      </c>
      <c r="H6" t="s">
        <v>541</v>
      </c>
      <c r="I6" t="s">
        <v>393</v>
      </c>
      <c r="J6" t="s">
        <v>394</v>
      </c>
      <c r="K6" t="s">
        <v>395</v>
      </c>
      <c r="L6" t="s">
        <v>542</v>
      </c>
      <c r="M6" t="s">
        <v>543</v>
      </c>
      <c r="N6" t="s">
        <v>510</v>
      </c>
      <c r="O6" t="s">
        <v>550</v>
      </c>
      <c r="P6" t="s">
        <v>551</v>
      </c>
    </row>
    <row r="7" spans="2:16">
      <c r="C7" s="3">
        <v>45813</v>
      </c>
      <c r="D7" t="s">
        <v>399</v>
      </c>
      <c r="E7">
        <v>6</v>
      </c>
      <c r="F7" s="3" t="s">
        <v>544</v>
      </c>
      <c r="G7" t="s">
        <v>400</v>
      </c>
      <c r="H7" t="s">
        <v>401</v>
      </c>
      <c r="I7" s="2">
        <v>7.2999999999999995E-2</v>
      </c>
      <c r="J7" s="2">
        <v>0.42099999999999999</v>
      </c>
      <c r="K7" s="2" t="s">
        <v>402</v>
      </c>
      <c r="L7" s="2" t="s">
        <v>403</v>
      </c>
      <c r="M7" s="2">
        <v>8.9999999999999993E-3</v>
      </c>
      <c r="N7" s="2">
        <v>8.9999999999999993E-3</v>
      </c>
      <c r="O7" s="7">
        <v>2837</v>
      </c>
      <c r="P7">
        <v>1139</v>
      </c>
    </row>
    <row r="8" spans="2:16">
      <c r="C8" s="3">
        <v>45841</v>
      </c>
      <c r="D8" t="s">
        <v>405</v>
      </c>
      <c r="E8">
        <v>7</v>
      </c>
      <c r="F8" s="3" t="s">
        <v>545</v>
      </c>
      <c r="G8" t="s">
        <v>400</v>
      </c>
      <c r="H8" t="s">
        <v>401</v>
      </c>
      <c r="I8" s="2">
        <v>5.8999999999999997E-2</v>
      </c>
      <c r="J8" s="2">
        <v>0.26800000000000002</v>
      </c>
      <c r="K8" s="2" t="s">
        <v>406</v>
      </c>
      <c r="L8" s="2" t="s">
        <v>403</v>
      </c>
      <c r="M8" s="2" t="s">
        <v>420</v>
      </c>
      <c r="N8" s="2">
        <v>2.4E-2</v>
      </c>
      <c r="O8">
        <v>2068</v>
      </c>
      <c r="P8">
        <v>771</v>
      </c>
    </row>
    <row r="9" spans="2:16">
      <c r="C9" s="3">
        <v>45841</v>
      </c>
      <c r="D9" t="s">
        <v>408</v>
      </c>
      <c r="E9">
        <v>7</v>
      </c>
      <c r="F9" s="3" t="s">
        <v>545</v>
      </c>
      <c r="G9" t="s">
        <v>400</v>
      </c>
      <c r="H9" t="s">
        <v>401</v>
      </c>
      <c r="I9" s="2">
        <v>6.4000000000000001E-2</v>
      </c>
      <c r="J9" s="2">
        <v>0.29399999999999998</v>
      </c>
      <c r="K9" s="2" t="s">
        <v>406</v>
      </c>
      <c r="L9" s="2" t="s">
        <v>403</v>
      </c>
      <c r="M9" s="2" t="s">
        <v>420</v>
      </c>
      <c r="N9" s="2">
        <v>3.2000000000000001E-2</v>
      </c>
      <c r="O9">
        <v>934</v>
      </c>
      <c r="P9">
        <v>412</v>
      </c>
    </row>
    <row r="10" spans="2:16">
      <c r="C10" s="3">
        <v>45841</v>
      </c>
      <c r="D10" t="s">
        <v>411</v>
      </c>
      <c r="E10">
        <v>7</v>
      </c>
      <c r="F10" s="3" t="s">
        <v>545</v>
      </c>
      <c r="G10" t="s">
        <v>400</v>
      </c>
      <c r="H10" t="s">
        <v>401</v>
      </c>
      <c r="I10" s="2">
        <v>5.7000000000000002E-2</v>
      </c>
      <c r="J10" s="2">
        <v>0.32</v>
      </c>
      <c r="K10" s="2" t="s">
        <v>412</v>
      </c>
      <c r="L10" s="2" t="s">
        <v>410</v>
      </c>
      <c r="M10" s="2">
        <v>0</v>
      </c>
      <c r="N10" s="2">
        <v>2.9000000000000001E-2</v>
      </c>
      <c r="O10">
        <v>175</v>
      </c>
      <c r="P10">
        <v>91</v>
      </c>
    </row>
    <row r="11" spans="2:16">
      <c r="C11" s="3">
        <v>45846</v>
      </c>
      <c r="D11" t="s">
        <v>405</v>
      </c>
      <c r="E11">
        <v>7</v>
      </c>
      <c r="F11" s="3" t="s">
        <v>545</v>
      </c>
      <c r="G11" t="s">
        <v>400</v>
      </c>
      <c r="H11" t="s">
        <v>401</v>
      </c>
      <c r="I11" s="2">
        <v>8.3000000000000004E-2</v>
      </c>
      <c r="J11" s="2">
        <v>0.438</v>
      </c>
      <c r="K11" s="2" t="s">
        <v>406</v>
      </c>
      <c r="L11" s="2" t="s">
        <v>403</v>
      </c>
      <c r="M11" s="2" t="s">
        <v>420</v>
      </c>
      <c r="N11" s="2">
        <v>0.02</v>
      </c>
      <c r="O11">
        <v>404</v>
      </c>
      <c r="P11">
        <v>294</v>
      </c>
    </row>
    <row r="12" spans="2:16">
      <c r="C12" s="3">
        <v>45846</v>
      </c>
      <c r="D12" t="s">
        <v>408</v>
      </c>
      <c r="E12">
        <v>7</v>
      </c>
      <c r="F12" s="3" t="s">
        <v>545</v>
      </c>
      <c r="G12" t="s">
        <v>400</v>
      </c>
      <c r="H12" t="s">
        <v>401</v>
      </c>
      <c r="I12" s="2">
        <v>6.4000000000000001E-2</v>
      </c>
      <c r="J12" s="2">
        <v>0.52900000000000003</v>
      </c>
      <c r="K12" s="2" t="s">
        <v>412</v>
      </c>
      <c r="L12" s="2" t="s">
        <v>410</v>
      </c>
      <c r="M12" s="2">
        <v>1.0999999999999999E-2</v>
      </c>
      <c r="N12" s="2">
        <v>1.0999999999999999E-2</v>
      </c>
      <c r="O12">
        <v>492</v>
      </c>
      <c r="P12">
        <v>266</v>
      </c>
    </row>
    <row r="13" spans="2:16">
      <c r="C13" s="3">
        <v>45846</v>
      </c>
      <c r="D13" t="s">
        <v>411</v>
      </c>
      <c r="E13">
        <v>7</v>
      </c>
      <c r="F13" s="3" t="s">
        <v>545</v>
      </c>
      <c r="G13" t="s">
        <v>400</v>
      </c>
      <c r="H13" t="s">
        <v>401</v>
      </c>
      <c r="I13" s="2">
        <v>6.7000000000000004E-2</v>
      </c>
      <c r="J13" s="2">
        <v>0.41299999999999998</v>
      </c>
      <c r="K13" s="2" t="s">
        <v>412</v>
      </c>
      <c r="L13" s="2" t="s">
        <v>410</v>
      </c>
      <c r="M13" s="2">
        <v>0</v>
      </c>
      <c r="N13" s="2">
        <v>1.2999999999999999E-2</v>
      </c>
      <c r="O13">
        <v>76</v>
      </c>
      <c r="P13">
        <v>266</v>
      </c>
    </row>
    <row r="14" spans="2:16">
      <c r="C14" s="3">
        <v>45850</v>
      </c>
      <c r="D14" t="s">
        <v>405</v>
      </c>
      <c r="E14">
        <v>7</v>
      </c>
      <c r="F14" s="3" t="s">
        <v>545</v>
      </c>
      <c r="G14" t="s">
        <v>400</v>
      </c>
      <c r="H14" t="s">
        <v>401</v>
      </c>
      <c r="I14" s="2">
        <v>6.7000000000000004E-2</v>
      </c>
      <c r="J14" s="2">
        <v>0.27900000000000003</v>
      </c>
      <c r="K14" s="2" t="s">
        <v>406</v>
      </c>
      <c r="L14" s="2" t="s">
        <v>403</v>
      </c>
      <c r="M14" s="2" t="s">
        <v>420</v>
      </c>
      <c r="N14" s="2">
        <v>2.4E-2</v>
      </c>
      <c r="O14">
        <v>1881</v>
      </c>
      <c r="P14">
        <v>613</v>
      </c>
    </row>
    <row r="15" spans="2:16">
      <c r="C15" s="3">
        <v>45850</v>
      </c>
      <c r="D15" t="s">
        <v>408</v>
      </c>
      <c r="E15">
        <v>7</v>
      </c>
      <c r="F15" s="3" t="s">
        <v>545</v>
      </c>
      <c r="G15" t="s">
        <v>400</v>
      </c>
      <c r="H15" t="s">
        <v>401</v>
      </c>
      <c r="I15" s="2">
        <v>9.8000000000000004E-2</v>
      </c>
      <c r="J15" s="2">
        <v>0.44700000000000001</v>
      </c>
      <c r="K15" s="2" t="s">
        <v>412</v>
      </c>
      <c r="L15" s="2" t="s">
        <v>410</v>
      </c>
      <c r="M15" s="2">
        <v>0</v>
      </c>
      <c r="N15" s="2">
        <v>1.7000000000000001E-2</v>
      </c>
      <c r="O15">
        <v>267</v>
      </c>
      <c r="P15">
        <v>152</v>
      </c>
    </row>
    <row r="16" spans="2:16">
      <c r="C16" s="3">
        <v>45850</v>
      </c>
      <c r="D16" t="s">
        <v>411</v>
      </c>
      <c r="E16">
        <v>7</v>
      </c>
      <c r="F16" s="3" t="s">
        <v>545</v>
      </c>
      <c r="G16" t="s">
        <v>400</v>
      </c>
      <c r="H16" t="s">
        <v>401</v>
      </c>
      <c r="I16" s="2">
        <v>0.14299999999999999</v>
      </c>
      <c r="J16" s="2">
        <v>0.14299999999999999</v>
      </c>
      <c r="K16" s="2" t="s">
        <v>414</v>
      </c>
      <c r="L16" s="2" t="s">
        <v>546</v>
      </c>
      <c r="M16" s="2">
        <v>0</v>
      </c>
      <c r="N16" s="2">
        <v>0</v>
      </c>
      <c r="O16">
        <v>7</v>
      </c>
      <c r="P16">
        <v>3</v>
      </c>
    </row>
    <row r="17" spans="3:16">
      <c r="C17" s="3">
        <v>45856</v>
      </c>
      <c r="D17" t="s">
        <v>558</v>
      </c>
      <c r="E17">
        <v>7</v>
      </c>
      <c r="F17" s="3" t="s">
        <v>545</v>
      </c>
      <c r="G17" t="s">
        <v>400</v>
      </c>
      <c r="H17" t="s">
        <v>401</v>
      </c>
      <c r="I17" s="2">
        <v>3.3000000000000002E-2</v>
      </c>
      <c r="J17" s="2">
        <v>0.39600000000000002</v>
      </c>
      <c r="K17" s="2" t="s">
        <v>420</v>
      </c>
      <c r="L17" s="2" t="s">
        <v>420</v>
      </c>
      <c r="M17" s="2" t="s">
        <v>420</v>
      </c>
      <c r="N17" s="2">
        <v>2.1999999999999999E-2</v>
      </c>
      <c r="O17" s="7">
        <v>2883</v>
      </c>
      <c r="P17" s="7">
        <v>1152</v>
      </c>
    </row>
    <row r="18" spans="3:16">
      <c r="C18" s="3">
        <v>45867</v>
      </c>
      <c r="D18" t="s">
        <v>415</v>
      </c>
      <c r="E18">
        <v>7</v>
      </c>
      <c r="F18" s="3" t="s">
        <v>545</v>
      </c>
      <c r="G18" t="s">
        <v>409</v>
      </c>
      <c r="H18" t="s">
        <v>401</v>
      </c>
      <c r="I18" s="2" t="s">
        <v>420</v>
      </c>
      <c r="J18" s="2">
        <v>0.20899999999999999</v>
      </c>
      <c r="K18" s="2" t="s">
        <v>417</v>
      </c>
      <c r="L18" s="2" t="s">
        <v>403</v>
      </c>
      <c r="M18" s="2">
        <v>1.7000000000000001E-2</v>
      </c>
      <c r="N18" s="2">
        <v>1.7000000000000001E-2</v>
      </c>
      <c r="O18" s="7">
        <v>2036</v>
      </c>
      <c r="P18" s="7">
        <v>631</v>
      </c>
    </row>
    <row r="19" spans="3:16">
      <c r="C19" s="3">
        <v>45875</v>
      </c>
      <c r="D19" t="s">
        <v>418</v>
      </c>
      <c r="E19">
        <v>8</v>
      </c>
      <c r="F19" s="3" t="s">
        <v>547</v>
      </c>
      <c r="G19" t="s">
        <v>400</v>
      </c>
      <c r="H19" t="s">
        <v>401</v>
      </c>
      <c r="I19" s="2">
        <v>4.4999999999999998E-2</v>
      </c>
      <c r="J19" s="2">
        <v>0.29199999999999998</v>
      </c>
      <c r="K19" s="2" t="s">
        <v>417</v>
      </c>
      <c r="L19" s="2" t="s">
        <v>403</v>
      </c>
      <c r="M19" s="2" t="s">
        <v>420</v>
      </c>
      <c r="N19" s="2">
        <v>1.0999999999999999E-2</v>
      </c>
      <c r="O19" s="7">
        <v>2399</v>
      </c>
      <c r="P19" s="7">
        <v>811</v>
      </c>
    </row>
    <row r="20" spans="3:16">
      <c r="C20" s="3">
        <v>45883</v>
      </c>
      <c r="D20" t="s">
        <v>418</v>
      </c>
      <c r="E20">
        <v>8</v>
      </c>
      <c r="F20" s="3" t="s">
        <v>547</v>
      </c>
      <c r="G20" t="s">
        <v>400</v>
      </c>
      <c r="H20" t="s">
        <v>401</v>
      </c>
      <c r="I20" s="2">
        <v>5.8000000000000003E-2</v>
      </c>
      <c r="J20" s="2">
        <v>0.25800000000000001</v>
      </c>
      <c r="K20" s="2" t="s">
        <v>417</v>
      </c>
      <c r="L20" s="2" t="s">
        <v>403</v>
      </c>
      <c r="M20" s="2" t="s">
        <v>420</v>
      </c>
      <c r="N20" s="2">
        <v>1.4999999999999999E-2</v>
      </c>
      <c r="O20">
        <v>2373</v>
      </c>
      <c r="P20">
        <v>711</v>
      </c>
    </row>
    <row r="21" spans="3:16">
      <c r="C21" s="3">
        <v>45894</v>
      </c>
      <c r="D21" t="s">
        <v>419</v>
      </c>
      <c r="E21">
        <v>8</v>
      </c>
      <c r="F21" s="3" t="s">
        <v>547</v>
      </c>
      <c r="G21" t="s">
        <v>400</v>
      </c>
      <c r="H21" t="s">
        <v>401</v>
      </c>
      <c r="I21" s="2">
        <v>6.6000000000000003E-2</v>
      </c>
      <c r="J21" s="2">
        <v>0.40500000000000003</v>
      </c>
      <c r="K21" s="2" t="s">
        <v>420</v>
      </c>
      <c r="L21" s="2" t="s">
        <v>420</v>
      </c>
      <c r="M21" s="2" t="s">
        <v>420</v>
      </c>
      <c r="N21" s="2" t="s">
        <v>420</v>
      </c>
      <c r="O21">
        <v>274</v>
      </c>
      <c r="P21">
        <v>103</v>
      </c>
    </row>
    <row r="22" spans="3:16">
      <c r="C22" s="3">
        <v>45905</v>
      </c>
      <c r="D22" t="s">
        <v>421</v>
      </c>
      <c r="E22">
        <v>9</v>
      </c>
      <c r="F22" s="3" t="s">
        <v>548</v>
      </c>
      <c r="G22" t="s">
        <v>400</v>
      </c>
      <c r="H22" t="s">
        <v>401</v>
      </c>
      <c r="I22" s="2">
        <v>2.5999999999999999E-2</v>
      </c>
      <c r="J22" s="2">
        <v>0.219</v>
      </c>
      <c r="K22" s="2" t="s">
        <v>417</v>
      </c>
      <c r="L22" s="2" t="s">
        <v>403</v>
      </c>
      <c r="M22" s="2" t="s">
        <v>420</v>
      </c>
      <c r="N22" s="2">
        <v>5.6000000000000001E-2</v>
      </c>
      <c r="O22">
        <v>2292</v>
      </c>
      <c r="P22">
        <v>639</v>
      </c>
    </row>
    <row r="23" spans="3:16">
      <c r="C23" s="3">
        <v>45905</v>
      </c>
      <c r="D23" t="s">
        <v>421</v>
      </c>
      <c r="E23">
        <v>9</v>
      </c>
      <c r="F23" s="3" t="s">
        <v>548</v>
      </c>
      <c r="G23" t="s">
        <v>400</v>
      </c>
      <c r="H23" t="s">
        <v>401</v>
      </c>
      <c r="I23" s="2">
        <v>6.6000000000000003E-2</v>
      </c>
      <c r="J23" s="2">
        <v>0.436</v>
      </c>
      <c r="K23" s="2" t="s">
        <v>420</v>
      </c>
      <c r="L23" s="2" t="s">
        <v>420</v>
      </c>
      <c r="M23" s="2" t="s">
        <v>420</v>
      </c>
      <c r="N23" s="2" t="s">
        <v>420</v>
      </c>
      <c r="O23">
        <v>410</v>
      </c>
      <c r="P23">
        <v>216</v>
      </c>
    </row>
    <row r="24" spans="3:16">
      <c r="C24">
        <v>45911</v>
      </c>
      <c r="D24" t="s">
        <v>422</v>
      </c>
      <c r="E24">
        <v>9</v>
      </c>
      <c r="F24" t="s">
        <v>548</v>
      </c>
      <c r="G24" t="s">
        <v>400</v>
      </c>
      <c r="H24" t="s">
        <v>401</v>
      </c>
      <c r="I24" t="s">
        <v>574</v>
      </c>
      <c r="J24" t="s">
        <v>575</v>
      </c>
      <c r="K24" t="s">
        <v>417</v>
      </c>
      <c r="L24" t="s">
        <v>403</v>
      </c>
      <c r="M24" t="s">
        <v>420</v>
      </c>
      <c r="N24" t="s">
        <v>576</v>
      </c>
      <c r="O24">
        <v>2752</v>
      </c>
      <c r="P24">
        <v>779</v>
      </c>
    </row>
    <row r="25" spans="3:16">
      <c r="C25">
        <v>45911</v>
      </c>
      <c r="D25" t="s">
        <v>422</v>
      </c>
      <c r="E25">
        <v>9</v>
      </c>
      <c r="F25" t="s">
        <v>548</v>
      </c>
      <c r="G25" t="s">
        <v>400</v>
      </c>
      <c r="H25" t="s">
        <v>401</v>
      </c>
      <c r="I25" t="s">
        <v>576</v>
      </c>
      <c r="J25" t="s">
        <v>577</v>
      </c>
      <c r="K25" t="s">
        <v>423</v>
      </c>
      <c r="L25" t="s">
        <v>403</v>
      </c>
      <c r="M25" t="s">
        <v>420</v>
      </c>
      <c r="N25" t="s">
        <v>578</v>
      </c>
      <c r="O25">
        <v>608</v>
      </c>
      <c r="P25">
        <v>323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14b141-252e-466e-9bd0-aa3bd705e1a5" xsi:nil="true"/>
    <lcf76f155ced4ddcb4097134ff3c332f xmlns="5692904a-18b9-4b65-9675-01117f46140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0B341BE7401E468E9AE3115A30B70A" ma:contentTypeVersion="15" ma:contentTypeDescription="Crear nuevo documento." ma:contentTypeScope="" ma:versionID="c0d0da53e853d00591a459c4fc375117">
  <xsd:schema xmlns:xsd="http://www.w3.org/2001/XMLSchema" xmlns:xs="http://www.w3.org/2001/XMLSchema" xmlns:p="http://schemas.microsoft.com/office/2006/metadata/properties" xmlns:ns2="5692904a-18b9-4b65-9675-01117f461403" xmlns:ns3="e414b141-252e-466e-9bd0-aa3bd705e1a5" targetNamespace="http://schemas.microsoft.com/office/2006/metadata/properties" ma:root="true" ma:fieldsID="e993de18d862ae8344c91409b386ca58" ns2:_="" ns3:_="">
    <xsd:import namespace="5692904a-18b9-4b65-9675-01117f461403"/>
    <xsd:import namespace="e414b141-252e-466e-9bd0-aa3bd705e1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2904a-18b9-4b65-9675-01117f461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8c91f968-ec5d-49dc-84a9-d513a3c91d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4b141-252e-466e-9bd0-aa3bd705e1a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18cf889-05ab-4142-9006-6cce8ebb96f3}" ma:internalName="TaxCatchAll" ma:showField="CatchAllData" ma:web="e414b141-252e-466e-9bd0-aa3bd705e1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9F32A9-4A45-482C-B3E7-74F9E337C5E1}"/>
</file>

<file path=customXml/itemProps2.xml><?xml version="1.0" encoding="utf-8"?>
<ds:datastoreItem xmlns:ds="http://schemas.openxmlformats.org/officeDocument/2006/customXml" ds:itemID="{5B57FC96-432B-4B8D-9FD2-25A1CD31E893}"/>
</file>

<file path=customXml/itemProps3.xml><?xml version="1.0" encoding="utf-8"?>
<ds:datastoreItem xmlns:ds="http://schemas.openxmlformats.org/officeDocument/2006/customXml" ds:itemID="{18F4CB61-E1BF-4374-91B6-6130A602E756}"/>
</file>

<file path=customXml/itemProps4.xml><?xml version="1.0" encoding="utf-8"?>
<ds:datastoreItem xmlns:ds="http://schemas.openxmlformats.org/officeDocument/2006/customXml" ds:itemID="{5C53CBC5-77D9-4740-A88E-199136F25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Béla Hanif</dc:creator>
  <cp:keywords/>
  <dc:description/>
  <cp:lastModifiedBy/>
  <cp:revision/>
  <dcterms:created xsi:type="dcterms:W3CDTF">2025-06-13T13:12:22Z</dcterms:created>
  <dcterms:modified xsi:type="dcterms:W3CDTF">2026-02-25T16:36:54Z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0x010100A10B341BE7401E468E9AE3115A30B70A</vt:lpwstr>
  </property>
  <property fmtid="{D5CDD505-2E9C-101B-9397-08002B2CF9AE}" pid="3" name="MediaServiceImageTags">
    <vt:lpwstr/>
  </property>
</Properties>
</file>